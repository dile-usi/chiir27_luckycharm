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/>
  <mc:AlternateContent xmlns:mc="http://schemas.openxmlformats.org/markup-compatibility/2006">
    <mc:Choice Requires="x15">
      <x15ac:absPath xmlns:x15ac="http://schemas.microsoft.com/office/spreadsheetml/2010/11/ac" url="/Users/dile/Desktop/phd/sol/Third Year/chiir2027/results/repo/"/>
    </mc:Choice>
  </mc:AlternateContent>
  <xr:revisionPtr revIDLastSave="0" documentId="8_{C2CC701A-3977-1948-8978-85C30A8EF0B8}" xr6:coauthVersionLast="47" xr6:coauthVersionMax="47" xr10:uidLastSave="{00000000-0000-0000-0000-000000000000}"/>
  <bookViews>
    <workbookView xWindow="15520" yWindow="760" windowWidth="14300" windowHeight="17580" firstSheet="1" activeTab="3" xr2:uid="{00000000-000D-0000-FFFF-FFFF00000000}"/>
  </bookViews>
  <sheets>
    <sheet name="Reasoning codebook" sheetId="1" r:id="rId1"/>
    <sheet name="Frequency per ID" sheetId="10" r:id="rId2"/>
    <sheet name="Reasoning per task type" sheetId="11" r:id="rId3"/>
    <sheet name="Reasoning per ISP stages" sheetId="12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12" l="1"/>
  <c r="E38" i="12"/>
  <c r="F38" i="12"/>
  <c r="G38" i="12"/>
  <c r="H38" i="12"/>
  <c r="C38" i="12"/>
  <c r="I36" i="11"/>
  <c r="G36" i="11"/>
  <c r="E36" i="11"/>
  <c r="C36" i="11"/>
  <c r="I35" i="11"/>
  <c r="G35" i="11"/>
  <c r="E35" i="11"/>
  <c r="C35" i="11"/>
  <c r="H34" i="11"/>
  <c r="E34" i="11" s="1"/>
  <c r="F34" i="11"/>
  <c r="G34" i="11" s="1"/>
  <c r="D34" i="11"/>
  <c r="B34" i="11"/>
  <c r="I33" i="11"/>
  <c r="G33" i="11"/>
  <c r="E33" i="11"/>
  <c r="C33" i="11"/>
  <c r="I32" i="11"/>
  <c r="G32" i="11"/>
  <c r="E32" i="11"/>
  <c r="C32" i="11"/>
  <c r="I31" i="11"/>
  <c r="G31" i="11"/>
  <c r="E31" i="11"/>
  <c r="C31" i="11"/>
  <c r="H30" i="11"/>
  <c r="F30" i="11"/>
  <c r="G30" i="11" s="1"/>
  <c r="D30" i="11"/>
  <c r="B30" i="11"/>
  <c r="I29" i="11"/>
  <c r="G29" i="11"/>
  <c r="E29" i="11"/>
  <c r="C29" i="11"/>
  <c r="I28" i="11"/>
  <c r="G28" i="11"/>
  <c r="E28" i="11"/>
  <c r="C28" i="11"/>
  <c r="G27" i="11"/>
  <c r="E27" i="11"/>
  <c r="C27" i="11"/>
  <c r="I27" i="11" s="1"/>
  <c r="I26" i="11"/>
  <c r="G26" i="11"/>
  <c r="E26" i="11"/>
  <c r="C26" i="11"/>
  <c r="H25" i="11"/>
  <c r="F25" i="11"/>
  <c r="G25" i="11" s="1"/>
  <c r="D25" i="11"/>
  <c r="E25" i="11" s="1"/>
  <c r="B25" i="11"/>
  <c r="C25" i="11" s="1"/>
  <c r="I25" i="11" s="1"/>
  <c r="I24" i="11"/>
  <c r="G24" i="11"/>
  <c r="E24" i="11"/>
  <c r="C24" i="11"/>
  <c r="I23" i="11"/>
  <c r="G23" i="11"/>
  <c r="E23" i="11"/>
  <c r="C23" i="11"/>
  <c r="I22" i="11"/>
  <c r="G22" i="11"/>
  <c r="E22" i="11"/>
  <c r="C22" i="11"/>
  <c r="H21" i="11"/>
  <c r="F21" i="11"/>
  <c r="G21" i="11" s="1"/>
  <c r="E21" i="11"/>
  <c r="D21" i="11"/>
  <c r="B21" i="11"/>
  <c r="C21" i="11" s="1"/>
  <c r="I21" i="11" s="1"/>
  <c r="G20" i="11"/>
  <c r="E20" i="11"/>
  <c r="C20" i="11"/>
  <c r="I20" i="11" s="1"/>
  <c r="I19" i="11"/>
  <c r="G19" i="11"/>
  <c r="E19" i="11"/>
  <c r="C19" i="11"/>
  <c r="H18" i="11"/>
  <c r="F18" i="11"/>
  <c r="G18" i="11" s="1"/>
  <c r="D18" i="11"/>
  <c r="E18" i="11" s="1"/>
  <c r="B18" i="11"/>
  <c r="C18" i="11" s="1"/>
  <c r="I18" i="11" s="1"/>
  <c r="I17" i="11"/>
  <c r="G17" i="11"/>
  <c r="E17" i="11"/>
  <c r="C17" i="11"/>
  <c r="I16" i="11"/>
  <c r="G16" i="11"/>
  <c r="E16" i="11"/>
  <c r="C16" i="11"/>
  <c r="G15" i="11"/>
  <c r="E15" i="11"/>
  <c r="C15" i="11"/>
  <c r="I15" i="11" s="1"/>
  <c r="H14" i="11"/>
  <c r="F14" i="11"/>
  <c r="G14" i="11" s="1"/>
  <c r="E14" i="11"/>
  <c r="D14" i="11"/>
  <c r="B14" i="11"/>
  <c r="C14" i="11" s="1"/>
  <c r="I14" i="11" s="1"/>
  <c r="G13" i="11"/>
  <c r="E13" i="11"/>
  <c r="C13" i="11"/>
  <c r="I13" i="11" s="1"/>
  <c r="I12" i="11"/>
  <c r="G12" i="11"/>
  <c r="E12" i="11"/>
  <c r="C12" i="11"/>
  <c r="I11" i="11"/>
  <c r="G11" i="11"/>
  <c r="E11" i="11"/>
  <c r="C11" i="11"/>
  <c r="G10" i="11"/>
  <c r="E10" i="11"/>
  <c r="C10" i="11"/>
  <c r="I10" i="11" s="1"/>
  <c r="I9" i="11"/>
  <c r="G9" i="11"/>
  <c r="E9" i="11"/>
  <c r="C9" i="11"/>
  <c r="H8" i="11"/>
  <c r="F8" i="11"/>
  <c r="G8" i="11" s="1"/>
  <c r="D8" i="11"/>
  <c r="E8" i="11" s="1"/>
  <c r="B8" i="11"/>
  <c r="C8" i="11" s="1"/>
  <c r="I8" i="11" s="1"/>
  <c r="I7" i="11"/>
  <c r="G7" i="11"/>
  <c r="E7" i="11"/>
  <c r="C7" i="11"/>
  <c r="I6" i="11"/>
  <c r="G6" i="11"/>
  <c r="E6" i="11"/>
  <c r="C6" i="11"/>
  <c r="G5" i="11"/>
  <c r="E5" i="11"/>
  <c r="C5" i="11"/>
  <c r="I5" i="11" s="1"/>
  <c r="I4" i="11"/>
  <c r="G4" i="11"/>
  <c r="E4" i="11"/>
  <c r="C4" i="11"/>
  <c r="H3" i="11"/>
  <c r="F3" i="11"/>
  <c r="G3" i="11" s="1"/>
  <c r="D3" i="11"/>
  <c r="E3" i="11" s="1"/>
  <c r="B3" i="11"/>
  <c r="C3" i="11" s="1"/>
  <c r="I3" i="11" l="1"/>
  <c r="C30" i="11"/>
  <c r="E30" i="11"/>
  <c r="C34" i="11"/>
  <c r="I34" i="11" s="1"/>
  <c r="I30" i="11" l="1"/>
</calcChain>
</file>

<file path=xl/sharedStrings.xml><?xml version="1.0" encoding="utf-8"?>
<sst xmlns="http://schemas.openxmlformats.org/spreadsheetml/2006/main" count="387" uniqueCount="340">
  <si>
    <r>
      <rPr>
        <sz val="11"/>
        <color rgb="FF966450"/>
        <rFont val="Arial"/>
        <family val="2"/>
      </rPr>
      <t>●</t>
    </r>
    <r>
      <rPr>
        <sz val="11"/>
        <rFont val="Arial"/>
        <family val="2"/>
      </rPr>
      <t xml:space="preserve"> Distraction-based reasoning</t>
    </r>
  </si>
  <si>
    <t>Affective reasoning</t>
  </si>
  <si>
    <t>Attention drifting from the task to unrelated content.</t>
  </si>
  <si>
    <t>Children encouraging or reassuring each other (or themselves).</t>
  </si>
  <si>
    <r>
      <rPr>
        <sz val="11"/>
        <color rgb="FF966450"/>
        <rFont val="Arial"/>
        <family val="2"/>
      </rPr>
      <t>●</t>
    </r>
    <r>
      <rPr>
        <sz val="11"/>
        <rFont val="Arial"/>
        <family val="2"/>
      </rPr>
      <t xml:space="preserve"> Overload-driven reasoning</t>
    </r>
  </si>
  <si>
    <t>Expressing being overwhelmed by the amount of text, results, or task difficulty.</t>
  </si>
  <si>
    <r>
      <rPr>
        <sz val="11"/>
        <color rgb="FF463CC8"/>
        <rFont val="Arial"/>
        <family val="2"/>
      </rPr>
      <t>●</t>
    </r>
    <r>
      <rPr>
        <sz val="11"/>
        <rFont val="Arial"/>
        <family val="2"/>
      </rPr>
      <t xml:space="preserve"> Deference-based reasoning</t>
    </r>
  </si>
  <si>
    <t>Collaborative/Social reasoning</t>
  </si>
  <si>
    <t>One child’s assertion of certainty overrides the peer’s doubt.</t>
  </si>
  <si>
    <r>
      <rPr>
        <sz val="11"/>
        <color rgb="FF463CC8"/>
        <rFont val="Arial"/>
        <family val="2"/>
      </rPr>
      <t>●</t>
    </r>
    <r>
      <rPr>
        <sz val="11"/>
        <rFont val="Arial"/>
        <family val="2"/>
      </rPr>
      <t xml:space="preserve"> Disagreement-driven reasoning</t>
    </r>
  </si>
  <si>
    <r>
      <rPr>
        <sz val="11"/>
        <color rgb="FF463CC8"/>
        <rFont val="Arial"/>
        <family val="2"/>
      </rPr>
      <t>●</t>
    </r>
    <r>
      <rPr>
        <sz val="11"/>
        <rFont val="Arial"/>
        <family val="2"/>
      </rPr>
      <t xml:space="preserve"> Individual reasoning</t>
    </r>
  </si>
  <si>
    <t>One child thinks and acts alone, without involving the partner in the decision.</t>
  </si>
  <si>
    <r>
      <rPr>
        <sz val="11"/>
        <color rgb="FF463CC8"/>
        <rFont val="Arial"/>
        <family val="2"/>
      </rPr>
      <t>●</t>
    </r>
    <r>
      <rPr>
        <sz val="11"/>
        <rFont val="Arial"/>
        <family val="2"/>
      </rPr>
      <t xml:space="preserve"> Negotiated reasoning</t>
    </r>
  </si>
  <si>
    <t>Jointly deciding what to do by proposing and agreeing on the next step.</t>
  </si>
  <si>
    <r>
      <rPr>
        <sz val="11"/>
        <color rgb="FF8C32A0"/>
        <rFont val="Arial"/>
        <family val="2"/>
      </rPr>
      <t>●</t>
    </r>
    <r>
      <rPr>
        <sz val="11"/>
        <rFont val="Arial"/>
        <family val="2"/>
      </rPr>
      <t xml:space="preserve"> Disengagement Reasoning</t>
    </r>
  </si>
  <si>
    <t>Metacognitive monitoring</t>
  </si>
  <si>
    <t>Explicitly leaving or avoiding a resource.</t>
  </si>
  <si>
    <r>
      <rPr>
        <sz val="11"/>
        <color rgb="FF8C32A0"/>
        <rFont val="Arial"/>
        <family val="2"/>
      </rPr>
      <t>●</t>
    </r>
    <r>
      <rPr>
        <sz val="11"/>
        <rFont val="Arial"/>
        <family val="2"/>
      </rPr>
      <t xml:space="preserve"> Self-corrective reasoning</t>
    </r>
  </si>
  <si>
    <t>Catching and fixing one’s own mistake.</t>
  </si>
  <si>
    <r>
      <rPr>
        <sz val="11"/>
        <color rgb="FF8C32A0"/>
        <rFont val="Arial"/>
        <family val="2"/>
      </rPr>
      <t>●</t>
    </r>
    <r>
      <rPr>
        <sz val="11"/>
        <rFont val="Arial"/>
        <family val="2"/>
      </rPr>
      <t xml:space="preserve"> Strategy revision</t>
    </r>
  </si>
  <si>
    <t>Recognizing that a query returned nothing useful and deliberately changing the search approach (new wording, shorter query, different terms).</t>
  </si>
  <si>
    <r>
      <rPr>
        <sz val="11"/>
        <color rgb="FF8C32A0"/>
        <rFont val="Arial"/>
        <family val="2"/>
      </rPr>
      <t>●</t>
    </r>
    <r>
      <rPr>
        <sz val="11"/>
        <rFont val="Arial"/>
        <family val="2"/>
      </rPr>
      <t xml:space="preserve"> Verification Reasoning</t>
    </r>
  </si>
  <si>
    <t>Reasoning about the source or the drafted answer to check accuracy before submitting.</t>
  </si>
  <si>
    <r>
      <rPr>
        <sz val="11"/>
        <color rgb="FFDC0000"/>
        <rFont val="Arial"/>
        <family val="2"/>
      </rPr>
      <t>●</t>
    </r>
    <r>
      <rPr>
        <sz val="11"/>
        <rFont val="Arial"/>
        <family val="2"/>
      </rPr>
      <t xml:space="preserve"> Reward-driven reasoning</t>
    </r>
  </si>
  <si>
    <t>Motivational reasoning</t>
  </si>
  <si>
    <t>Reasoning about how answering affects the game reward.</t>
  </si>
  <si>
    <r>
      <rPr>
        <sz val="11"/>
        <color rgb="FFFF7800"/>
        <rFont val="Arial"/>
        <family val="2"/>
      </rPr>
      <t>●</t>
    </r>
    <r>
      <rPr>
        <sz val="11"/>
        <rFont val="Arial"/>
        <family val="2"/>
      </rPr>
      <t xml:space="preserve"> Experience-basd reasoning</t>
    </r>
  </si>
  <si>
    <t>Prior-knowledge reasoning</t>
  </si>
  <si>
    <t>Drawing on first-hand or past experience to interpret the task or judge an answer.</t>
  </si>
  <si>
    <r>
      <rPr>
        <sz val="11"/>
        <color rgb="FFFF7800"/>
        <rFont val="Arial"/>
        <family val="2"/>
      </rPr>
      <t>●</t>
    </r>
    <r>
      <rPr>
        <sz val="11"/>
        <rFont val="Arial"/>
        <family val="2"/>
      </rPr>
      <t xml:space="preserve"> Memory-based reasoning</t>
    </r>
  </si>
  <si>
    <t>Retrieving an answer from earlier actions during the activity.</t>
  </si>
  <si>
    <r>
      <rPr>
        <sz val="11"/>
        <color rgb="FFFF7800"/>
        <rFont val="Arial"/>
        <family val="2"/>
      </rPr>
      <t>●</t>
    </r>
    <r>
      <rPr>
        <sz val="11"/>
        <rFont val="Arial"/>
        <family val="2"/>
      </rPr>
      <t xml:space="preserve"> Recall-based reasoning</t>
    </r>
  </si>
  <si>
    <t>Retrieving an answer from memory or classroom knowledge before or instead of searching.</t>
  </si>
  <si>
    <r>
      <rPr>
        <sz val="11"/>
        <color rgb="FFFFBE00"/>
        <rFont val="Arial"/>
        <family val="2"/>
      </rPr>
      <t>●</t>
    </r>
    <r>
      <rPr>
        <sz val="11"/>
        <rFont val="Arial"/>
        <family val="2"/>
      </rPr>
      <t xml:space="preserve"> Completeness-based reasoning</t>
    </r>
  </si>
  <si>
    <t>Quantitative reasoning</t>
  </si>
  <si>
    <t>Deciding whether the answer fully satisfied the question.</t>
  </si>
  <si>
    <r>
      <rPr>
        <sz val="11"/>
        <color rgb="FFFFBE00"/>
        <rFont val="Arial"/>
        <family val="2"/>
      </rPr>
      <t>●</t>
    </r>
    <r>
      <rPr>
        <sz val="11"/>
        <rFont val="Arial"/>
        <family val="2"/>
      </rPr>
      <t xml:space="preserve"> Count-based reasoning</t>
    </r>
  </si>
  <si>
    <t>Monitoring progress against a required number of items to decide on stopping.</t>
  </si>
  <si>
    <r>
      <rPr>
        <sz val="11"/>
        <color rgb="FF46AA00"/>
        <rFont val="Arial"/>
        <family val="2"/>
      </rPr>
      <t>●</t>
    </r>
    <r>
      <rPr>
        <sz val="11"/>
        <rFont val="Arial"/>
        <family val="2"/>
      </rPr>
      <t xml:space="preserve"> Error-driven reasoning</t>
    </r>
  </si>
  <si>
    <t>Semantic reasoning</t>
  </si>
  <si>
    <t>Misreading a word’s role or referent in the task or a snippet.</t>
  </si>
  <si>
    <t>Deliberating which words to keep in the query or to add in the answer</t>
  </si>
  <si>
    <t>Attention to spelling and the exact written form of words</t>
  </si>
  <si>
    <r>
      <rPr>
        <sz val="11"/>
        <color rgb="FF006EFF"/>
        <rFont val="Arial"/>
        <family val="2"/>
      </rPr>
      <t>●</t>
    </r>
    <r>
      <rPr>
        <sz val="11"/>
        <rFont val="Arial"/>
        <family val="2"/>
      </rPr>
      <t xml:space="preserve"> Comparative reasoning</t>
    </r>
  </si>
  <si>
    <t>Using specific evidence to choose between competing answers.</t>
  </si>
  <si>
    <r>
      <rPr>
        <sz val="11"/>
        <color rgb="FF006EFF"/>
        <rFont val="Arial"/>
        <family val="2"/>
      </rPr>
      <t>●</t>
    </r>
    <r>
      <rPr>
        <sz val="11"/>
        <rFont val="Arial"/>
        <family val="2"/>
      </rPr>
      <t xml:space="preserve"> Cross-source Reasoning</t>
    </r>
  </si>
  <si>
    <t>Looking for another source before accepting the answer.</t>
  </si>
  <si>
    <t>Reasoning about how trustworthy a source seems.</t>
  </si>
  <si>
    <r>
      <rPr>
        <sz val="11"/>
        <color rgb="FF006EFF"/>
        <rFont val="Arial"/>
        <family val="2"/>
      </rPr>
      <t>●</t>
    </r>
    <r>
      <rPr>
        <sz val="11"/>
        <rFont val="Arial"/>
        <family val="2"/>
      </rPr>
      <t xml:space="preserve"> Text-based reasoning</t>
    </r>
  </si>
  <si>
    <t>Judging relevance, or extracting the information, by focusing on the text (snippet, title, or page body).</t>
  </si>
  <si>
    <r>
      <rPr>
        <sz val="11"/>
        <color rgb="FF006EFF"/>
        <rFont val="Arial"/>
        <family val="2"/>
      </rPr>
      <t>●</t>
    </r>
    <r>
      <rPr>
        <sz val="11"/>
        <rFont val="Arial"/>
        <family val="2"/>
      </rPr>
      <t xml:space="preserve"> Visual-based reasoning</t>
    </r>
  </si>
  <si>
    <t>Judging relevance, or extracting the information, from images/video.</t>
  </si>
  <si>
    <t xml:space="preserve">Affective states shaping the search: distraction, encouragement, overload. </t>
  </si>
  <si>
    <t xml:space="preserve">How reasoning is shared in the group: negotiation, disagreement, deference, working alone. </t>
  </si>
  <si>
    <t>Monitoring and regulating one’s own search: verifying, revising, abandoning, self-correcting.</t>
  </si>
  <si>
    <t xml:space="preserve">Reasoning driven speed and reward. </t>
  </si>
  <si>
    <t xml:space="preserve">Using what children already know (session, school, personal life) to propose or judge answers. </t>
  </si>
  <si>
    <t xml:space="preserve">Reasoning about how much is enough: counting required items, judging completeness. </t>
  </si>
  <si>
    <t>Reasoning about language: choosing query words, focusing on orthography, misreading words.</t>
  </si>
  <si>
    <t xml:space="preserve">Reasoning about sources and relevant information: trust, agreement, image vs. text-based judgments. </t>
  </si>
  <si>
    <t>Prioritizing finishing or moving on over reading carefully or verifying — explicit fatigue/boredom used to justify skipping steps.</t>
  </si>
  <si>
    <t>Definition</t>
  </si>
  <si>
    <t>Quotations (n)</t>
  </si>
  <si>
    <t>Reasoning groups</t>
  </si>
  <si>
    <t>Codes</t>
  </si>
  <si>
    <t>Groups using the code (of 18)</t>
  </si>
  <si>
    <t>ID</t>
  </si>
  <si>
    <t>Grade</t>
  </si>
  <si>
    <t>Negotiated reasoning</t>
  </si>
  <si>
    <t>Disagreement-driven reasoning</t>
  </si>
  <si>
    <t>Deference-based reasoning</t>
  </si>
  <si>
    <t>Individual reasoning</t>
  </si>
  <si>
    <t>Group total*</t>
  </si>
  <si>
    <t>Visual-based reasoning</t>
  </si>
  <si>
    <t>Text-based reasoning</t>
  </si>
  <si>
    <t>Cross-source reasoning</t>
  </si>
  <si>
    <t>Comparative reasoning</t>
  </si>
  <si>
    <t>Error-driven reasoning</t>
  </si>
  <si>
    <t>Reward-driven reasoning</t>
  </si>
  <si>
    <t>Memory-based reasoning</t>
  </si>
  <si>
    <t>Experience-based reasoning</t>
  </si>
  <si>
    <t>Recall-based reasoning</t>
  </si>
  <si>
    <t>Verification reasoning</t>
  </si>
  <si>
    <t>Strategy revision</t>
  </si>
  <si>
    <t>Disengagement reasoning</t>
  </si>
  <si>
    <t>Self-corrective reasoning</t>
  </si>
  <si>
    <t>Distraction-based reasoning</t>
  </si>
  <si>
    <t>Emotion-driven reasoning</t>
  </si>
  <si>
    <t>Overload-driven reasoning</t>
  </si>
  <si>
    <t>Count-based reasoning</t>
  </si>
  <si>
    <t>Completeness-based reasoning</t>
  </si>
  <si>
    <t>ID01</t>
  </si>
  <si>
    <t>ID02</t>
  </si>
  <si>
    <t>ID03</t>
  </si>
  <si>
    <t>ID04</t>
  </si>
  <si>
    <t>ID05</t>
  </si>
  <si>
    <t>ID06</t>
  </si>
  <si>
    <t>ID07</t>
  </si>
  <si>
    <t>ID08</t>
  </si>
  <si>
    <t>ID09</t>
  </si>
  <si>
    <t>ID10</t>
  </si>
  <si>
    <t>ID11</t>
  </si>
  <si>
    <t>ID12</t>
  </si>
  <si>
    <t>ID13</t>
  </si>
  <si>
    <t>ID14</t>
  </si>
  <si>
    <t>ID15</t>
  </si>
  <si>
    <t>ID16</t>
  </si>
  <si>
    <t>ID17</t>
  </si>
  <si>
    <t>ID18</t>
  </si>
  <si>
    <t>Total</t>
  </si>
  <si>
    <t>* Group total = number of distinct quotations coded with at least one code of the group. A quotation can carry several codes, so the group total can be lower than the sum of its codes.</t>
  </si>
  <si>
    <t>India (3rd grade) quote example [Italian]</t>
  </si>
  <si>
    <t>India (3rd grade) quote example [English]</t>
  </si>
  <si>
    <t>Space (4th grade) quote example [English]</t>
  </si>
  <si>
    <t>Space (4th grade) quote example [Italian]</t>
  </si>
  <si>
    <t>Reasoning</t>
  </si>
  <si>
    <t>Fact-finding (N=271)</t>
  </si>
  <si>
    <t>Multi-step (N=387)</t>
  </si>
  <si>
    <t>Open-ended (N=461)</t>
  </si>
  <si>
    <t>Totals</t>
  </si>
  <si>
    <t>N</t>
  </si>
  <si>
    <t>%</t>
  </si>
  <si>
    <t xml:space="preserve">   Disagreement-driven reasoning</t>
  </si>
  <si>
    <t xml:space="preserve">   Deference-based reasoning</t>
  </si>
  <si>
    <t xml:space="preserve">   Individual reasoning</t>
  </si>
  <si>
    <t xml:space="preserve">   Credibility-based reasoning</t>
  </si>
  <si>
    <t xml:space="preserve">   Visual-based reasoning</t>
  </si>
  <si>
    <t xml:space="preserve">   Text-based reasoning</t>
  </si>
  <si>
    <t xml:space="preserve">   Cross-source reasoning</t>
  </si>
  <si>
    <t xml:space="preserve">   Comparative reasoning</t>
  </si>
  <si>
    <t xml:space="preserve">   Orthographic-focused reasoning</t>
  </si>
  <si>
    <t xml:space="preserve">   Completion-driven reasoning</t>
  </si>
  <si>
    <t xml:space="preserve">   Reward-driven reasoning</t>
  </si>
  <si>
    <t xml:space="preserve">   Experience-based reasoning</t>
  </si>
  <si>
    <t xml:space="preserve">   Recall-based reasoning</t>
  </si>
  <si>
    <t>Metacognitive reasoning</t>
  </si>
  <si>
    <t xml:space="preserve">   Verification reasoning</t>
  </si>
  <si>
    <t xml:space="preserve">   Strategic reasoning</t>
  </si>
  <si>
    <t xml:space="preserve">   Disengagement reasoning</t>
  </si>
  <si>
    <t xml:space="preserve">   Self-corrective reasoning</t>
  </si>
  <si>
    <t xml:space="preserve">   Distraction-driven reasoning</t>
  </si>
  <si>
    <t xml:space="preserve">   Emotion-driven reasoning</t>
  </si>
  <si>
    <t xml:space="preserve">   Overload-driven reasoning</t>
  </si>
  <si>
    <t xml:space="preserve">   Count-based reasoning</t>
  </si>
  <si>
    <t xml:space="preserve">   Completeness-based reasoning</t>
  </si>
  <si>
    <t>○PH1_ProblemDefinition</t>
  </si>
  <si>
    <t>○PH2_QueryFormulation</t>
  </si>
  <si>
    <t>○PH6_AnswerSubmission</t>
  </si>
  <si>
    <r>
      <rPr>
        <b/>
        <sz val="11"/>
        <color rgb="FF000000"/>
        <rFont val="Arial"/>
        <family val="2"/>
      </rPr>
      <t>○Affective Reasoning</t>
    </r>
    <r>
      <rPr>
        <b/>
        <sz val="11"/>
        <color rgb="FF7F7F7F"/>
        <rFont val="Arial"/>
        <family val="2"/>
      </rPr>
      <t xml:space="preserve">
Gr=61</t>
    </r>
  </si>
  <si>
    <r>
      <rPr>
        <b/>
        <sz val="11"/>
        <color rgb="FF966450"/>
        <rFont val="Arial"/>
        <family val="2"/>
      </rPr>
      <t>●</t>
    </r>
    <r>
      <rPr>
        <b/>
        <sz val="11"/>
        <color rgb="FF000000"/>
        <rFont val="Arial"/>
        <family val="2"/>
      </rPr>
      <t>Distraction-based reasoning</t>
    </r>
    <r>
      <rPr>
        <b/>
        <sz val="11"/>
        <color rgb="FF7F7F7F"/>
        <rFont val="Arial"/>
        <family val="2"/>
      </rPr>
      <t xml:space="preserve">
Gr=31</t>
    </r>
  </si>
  <si>
    <r>
      <rPr>
        <b/>
        <sz val="11"/>
        <color rgb="FF966450"/>
        <rFont val="Arial"/>
        <family val="2"/>
      </rPr>
      <t>●</t>
    </r>
    <r>
      <rPr>
        <b/>
        <sz val="11"/>
        <color rgb="FF000000"/>
        <rFont val="Arial"/>
        <family val="2"/>
      </rPr>
      <t>Emotion-drive reasoning</t>
    </r>
    <r>
      <rPr>
        <b/>
        <sz val="11"/>
        <color rgb="FF7F7F7F"/>
        <rFont val="Arial"/>
        <family val="2"/>
      </rPr>
      <t xml:space="preserve">
Gr=28</t>
    </r>
  </si>
  <si>
    <r>
      <rPr>
        <b/>
        <sz val="11"/>
        <color rgb="FF966450"/>
        <rFont val="Arial"/>
        <family val="2"/>
      </rPr>
      <t>●</t>
    </r>
    <r>
      <rPr>
        <b/>
        <sz val="11"/>
        <color rgb="FF000000"/>
        <rFont val="Arial"/>
        <family val="2"/>
      </rPr>
      <t>Overload-driven reasoning</t>
    </r>
    <r>
      <rPr>
        <b/>
        <sz val="11"/>
        <color rgb="FF7F7F7F"/>
        <rFont val="Arial"/>
        <family val="2"/>
      </rPr>
      <t xml:space="preserve">
Gr=10</t>
    </r>
  </si>
  <si>
    <r>
      <rPr>
        <b/>
        <sz val="11"/>
        <color rgb="FF000000"/>
        <rFont val="Arial"/>
        <family val="2"/>
      </rPr>
      <t>○Collaborative Reasoning</t>
    </r>
    <r>
      <rPr>
        <b/>
        <sz val="11"/>
        <color rgb="FF7F7F7F"/>
        <rFont val="Arial"/>
        <family val="2"/>
      </rPr>
      <t xml:space="preserve">
Gr=220</t>
    </r>
  </si>
  <si>
    <r>
      <rPr>
        <b/>
        <sz val="11"/>
        <color rgb="FF463CC8"/>
        <rFont val="Arial"/>
        <family val="2"/>
      </rPr>
      <t>●</t>
    </r>
    <r>
      <rPr>
        <b/>
        <sz val="11"/>
        <color rgb="FF000000"/>
        <rFont val="Arial"/>
        <family val="2"/>
      </rPr>
      <t>Deference-based reasoning</t>
    </r>
    <r>
      <rPr>
        <b/>
        <sz val="11"/>
        <color rgb="FF7F7F7F"/>
        <rFont val="Arial"/>
        <family val="2"/>
      </rPr>
      <t xml:space="preserve">
Gr=51</t>
    </r>
  </si>
  <si>
    <r>
      <rPr>
        <b/>
        <sz val="11"/>
        <color rgb="FF463CC8"/>
        <rFont val="Arial"/>
        <family val="2"/>
      </rPr>
      <t>●</t>
    </r>
    <r>
      <rPr>
        <b/>
        <sz val="11"/>
        <color rgb="FF000000"/>
        <rFont val="Arial"/>
        <family val="2"/>
      </rPr>
      <t>Disagreement-driven reasoning</t>
    </r>
    <r>
      <rPr>
        <b/>
        <sz val="11"/>
        <color rgb="FF7F7F7F"/>
        <rFont val="Arial"/>
        <family val="2"/>
      </rPr>
      <t xml:space="preserve">
Gr=53</t>
    </r>
  </si>
  <si>
    <r>
      <rPr>
        <b/>
        <sz val="11"/>
        <color rgb="FF463CC8"/>
        <rFont val="Arial"/>
        <family val="2"/>
      </rPr>
      <t>●</t>
    </r>
    <r>
      <rPr>
        <b/>
        <sz val="11"/>
        <color rgb="FF000000"/>
        <rFont val="Arial"/>
        <family val="2"/>
      </rPr>
      <t>Individual reasoning</t>
    </r>
    <r>
      <rPr>
        <b/>
        <sz val="11"/>
        <color rgb="FF7F7F7F"/>
        <rFont val="Arial"/>
        <family val="2"/>
      </rPr>
      <t xml:space="preserve">
Gr=17</t>
    </r>
  </si>
  <si>
    <r>
      <rPr>
        <b/>
        <sz val="11"/>
        <color rgb="FF463CC8"/>
        <rFont val="Arial"/>
        <family val="2"/>
      </rPr>
      <t>●</t>
    </r>
    <r>
      <rPr>
        <b/>
        <sz val="11"/>
        <color rgb="FF000000"/>
        <rFont val="Arial"/>
        <family val="2"/>
      </rPr>
      <t>Negotiated reasoning</t>
    </r>
    <r>
      <rPr>
        <b/>
        <sz val="11"/>
        <color rgb="FF7F7F7F"/>
        <rFont val="Arial"/>
        <family val="2"/>
      </rPr>
      <t xml:space="preserve">
Gr=115</t>
    </r>
  </si>
  <si>
    <r>
      <rPr>
        <b/>
        <sz val="11"/>
        <color rgb="FF000000"/>
        <rFont val="Arial"/>
        <family val="2"/>
      </rPr>
      <t>○Metacognitive Reasoning</t>
    </r>
    <r>
      <rPr>
        <b/>
        <sz val="11"/>
        <color rgb="FF7F7F7F"/>
        <rFont val="Arial"/>
        <family val="2"/>
      </rPr>
      <t xml:space="preserve">
Gr=84</t>
    </r>
  </si>
  <si>
    <r>
      <rPr>
        <b/>
        <sz val="11"/>
        <color rgb="FF8C32A0"/>
        <rFont val="Arial"/>
        <family val="2"/>
      </rPr>
      <t>●</t>
    </r>
    <r>
      <rPr>
        <b/>
        <sz val="11"/>
        <color rgb="FF000000"/>
        <rFont val="Arial"/>
        <family val="2"/>
      </rPr>
      <t>Disengagement Reasoning</t>
    </r>
    <r>
      <rPr>
        <b/>
        <sz val="11"/>
        <color rgb="FF7F7F7F"/>
        <rFont val="Arial"/>
        <family val="2"/>
      </rPr>
      <t xml:space="preserve">
Gr=19</t>
    </r>
  </si>
  <si>
    <r>
      <rPr>
        <b/>
        <sz val="11"/>
        <color rgb="FF8C32A0"/>
        <rFont val="Arial"/>
        <family val="2"/>
      </rPr>
      <t>●</t>
    </r>
    <r>
      <rPr>
        <b/>
        <sz val="11"/>
        <color rgb="FF000000"/>
        <rFont val="Arial"/>
        <family val="2"/>
      </rPr>
      <t>Self-corrective reasoning</t>
    </r>
    <r>
      <rPr>
        <b/>
        <sz val="11"/>
        <color rgb="FF7F7F7F"/>
        <rFont val="Arial"/>
        <family val="2"/>
      </rPr>
      <t xml:space="preserve">
Gr=18</t>
    </r>
  </si>
  <si>
    <r>
      <rPr>
        <b/>
        <sz val="11"/>
        <color rgb="FF8C32A0"/>
        <rFont val="Arial"/>
        <family val="2"/>
      </rPr>
      <t>●</t>
    </r>
    <r>
      <rPr>
        <b/>
        <sz val="11"/>
        <color rgb="FF000000"/>
        <rFont val="Arial"/>
        <family val="2"/>
      </rPr>
      <t>Strategy revision</t>
    </r>
    <r>
      <rPr>
        <b/>
        <sz val="11"/>
        <color rgb="FF7F7F7F"/>
        <rFont val="Arial"/>
        <family val="2"/>
      </rPr>
      <t xml:space="preserve">
Gr=26</t>
    </r>
  </si>
  <si>
    <r>
      <rPr>
        <b/>
        <sz val="11"/>
        <color rgb="FF8C32A0"/>
        <rFont val="Arial"/>
        <family val="2"/>
      </rPr>
      <t>●</t>
    </r>
    <r>
      <rPr>
        <b/>
        <sz val="11"/>
        <color rgb="FF000000"/>
        <rFont val="Arial"/>
        <family val="2"/>
      </rPr>
      <t>Verification Reasoning</t>
    </r>
    <r>
      <rPr>
        <b/>
        <sz val="11"/>
        <color rgb="FF7F7F7F"/>
        <rFont val="Arial"/>
        <family val="2"/>
      </rPr>
      <t xml:space="preserve">
Gr=26</t>
    </r>
  </si>
  <si>
    <r>
      <rPr>
        <b/>
        <sz val="11"/>
        <color rgb="FF000000"/>
        <rFont val="Arial"/>
        <family val="2"/>
      </rPr>
      <t>○Motivational Reasoning</t>
    </r>
    <r>
      <rPr>
        <b/>
        <sz val="11"/>
        <color rgb="FF7F7F7F"/>
        <rFont val="Arial"/>
        <family val="2"/>
      </rPr>
      <t xml:space="preserve">
Gr=127</t>
    </r>
  </si>
  <si>
    <r>
      <rPr>
        <b/>
        <sz val="11"/>
        <color rgb="FFDC0000"/>
        <rFont val="Arial"/>
        <family val="2"/>
      </rPr>
      <t>●</t>
    </r>
    <r>
      <rPr>
        <b/>
        <sz val="11"/>
        <color rgb="FF000000"/>
        <rFont val="Arial"/>
        <family val="2"/>
      </rPr>
      <t>Reward-driven reasoning</t>
    </r>
    <r>
      <rPr>
        <b/>
        <sz val="11"/>
        <color rgb="FF7F7F7F"/>
        <rFont val="Arial"/>
        <family val="2"/>
      </rPr>
      <t xml:space="preserve">
Gr=25</t>
    </r>
  </si>
  <si>
    <r>
      <rPr>
        <b/>
        <sz val="11"/>
        <color rgb="FF000000"/>
        <rFont val="Arial"/>
        <family val="2"/>
      </rPr>
      <t>○Prior-Knowledge Reasoning</t>
    </r>
    <r>
      <rPr>
        <b/>
        <sz val="11"/>
        <color rgb="FF7F7F7F"/>
        <rFont val="Arial"/>
        <family val="2"/>
      </rPr>
      <t xml:space="preserve">
Gr=118</t>
    </r>
  </si>
  <si>
    <r>
      <rPr>
        <b/>
        <sz val="11"/>
        <color rgb="FFFF7800"/>
        <rFont val="Arial"/>
        <family val="2"/>
      </rPr>
      <t>●</t>
    </r>
    <r>
      <rPr>
        <b/>
        <sz val="11"/>
        <color rgb="FF000000"/>
        <rFont val="Arial"/>
        <family val="2"/>
      </rPr>
      <t>Experience-basd reasoning</t>
    </r>
    <r>
      <rPr>
        <b/>
        <sz val="11"/>
        <color rgb="FF7F7F7F"/>
        <rFont val="Arial"/>
        <family val="2"/>
      </rPr>
      <t xml:space="preserve">
Gr=56</t>
    </r>
  </si>
  <si>
    <r>
      <rPr>
        <b/>
        <sz val="11"/>
        <color rgb="FFFF7800"/>
        <rFont val="Arial"/>
        <family val="2"/>
      </rPr>
      <t>●</t>
    </r>
    <r>
      <rPr>
        <b/>
        <sz val="11"/>
        <color rgb="FF000000"/>
        <rFont val="Arial"/>
        <family val="2"/>
      </rPr>
      <t>Memory-based reasoning</t>
    </r>
    <r>
      <rPr>
        <b/>
        <sz val="11"/>
        <color rgb="FF7F7F7F"/>
        <rFont val="Arial"/>
        <family val="2"/>
      </rPr>
      <t xml:space="preserve">
Gr=77</t>
    </r>
  </si>
  <si>
    <r>
      <rPr>
        <b/>
        <sz val="11"/>
        <color rgb="FFFF7800"/>
        <rFont val="Arial"/>
        <family val="2"/>
      </rPr>
      <t>●</t>
    </r>
    <r>
      <rPr>
        <b/>
        <sz val="11"/>
        <color rgb="FF000000"/>
        <rFont val="Arial"/>
        <family val="2"/>
      </rPr>
      <t>Recall-based reasoning</t>
    </r>
    <r>
      <rPr>
        <b/>
        <sz val="11"/>
        <color rgb="FF7F7F7F"/>
        <rFont val="Arial"/>
        <family val="2"/>
      </rPr>
      <t xml:space="preserve">
Gr=20</t>
    </r>
  </si>
  <si>
    <r>
      <rPr>
        <b/>
        <sz val="11"/>
        <color rgb="FF000000"/>
        <rFont val="Arial"/>
        <family val="2"/>
      </rPr>
      <t>○Quantitative Reasoning</t>
    </r>
    <r>
      <rPr>
        <b/>
        <sz val="11"/>
        <color rgb="FF7F7F7F"/>
        <rFont val="Arial"/>
        <family val="2"/>
      </rPr>
      <t xml:space="preserve">
Gr=57</t>
    </r>
  </si>
  <si>
    <r>
      <rPr>
        <b/>
        <sz val="11"/>
        <color rgb="FFFFBE00"/>
        <rFont val="Arial"/>
        <family val="2"/>
      </rPr>
      <t>●</t>
    </r>
    <r>
      <rPr>
        <b/>
        <sz val="11"/>
        <color rgb="FF000000"/>
        <rFont val="Arial"/>
        <family val="2"/>
      </rPr>
      <t>Completeness-based reasoning</t>
    </r>
    <r>
      <rPr>
        <b/>
        <sz val="11"/>
        <color rgb="FF7F7F7F"/>
        <rFont val="Arial"/>
        <family val="2"/>
      </rPr>
      <t xml:space="preserve">
Gr=28</t>
    </r>
  </si>
  <si>
    <r>
      <rPr>
        <b/>
        <sz val="11"/>
        <color rgb="FFFFBE00"/>
        <rFont val="Arial"/>
        <family val="2"/>
      </rPr>
      <t>●</t>
    </r>
    <r>
      <rPr>
        <b/>
        <sz val="11"/>
        <color rgb="FF000000"/>
        <rFont val="Arial"/>
        <family val="2"/>
      </rPr>
      <t>Count-based reasoning</t>
    </r>
    <r>
      <rPr>
        <b/>
        <sz val="11"/>
        <color rgb="FF7F7F7F"/>
        <rFont val="Arial"/>
        <family val="2"/>
      </rPr>
      <t xml:space="preserve">
Gr=33</t>
    </r>
  </si>
  <si>
    <r>
      <rPr>
        <b/>
        <sz val="11"/>
        <color rgb="FF000000"/>
        <rFont val="Arial"/>
        <family val="2"/>
      </rPr>
      <t>○Semantic Reasoning</t>
    </r>
    <r>
      <rPr>
        <b/>
        <sz val="11"/>
        <color rgb="FF7F7F7F"/>
        <rFont val="Arial"/>
        <family val="2"/>
      </rPr>
      <t xml:space="preserve">
Gr=179</t>
    </r>
  </si>
  <si>
    <r>
      <rPr>
        <b/>
        <sz val="11"/>
        <color rgb="FF46AA00"/>
        <rFont val="Arial"/>
        <family val="2"/>
      </rPr>
      <t>●</t>
    </r>
    <r>
      <rPr>
        <b/>
        <sz val="11"/>
        <color rgb="FF000000"/>
        <rFont val="Arial"/>
        <family val="2"/>
      </rPr>
      <t>Error-driven reasoning</t>
    </r>
    <r>
      <rPr>
        <b/>
        <sz val="11"/>
        <color rgb="FF7F7F7F"/>
        <rFont val="Arial"/>
        <family val="2"/>
      </rPr>
      <t xml:space="preserve">
Gr=27</t>
    </r>
  </si>
  <si>
    <r>
      <rPr>
        <b/>
        <sz val="11"/>
        <color rgb="FF006EFF"/>
        <rFont val="Arial"/>
        <family val="2"/>
      </rPr>
      <t>●</t>
    </r>
    <r>
      <rPr>
        <b/>
        <sz val="11"/>
        <color rgb="FF000000"/>
        <rFont val="Arial"/>
        <family val="2"/>
      </rPr>
      <t>Comparative reasoning</t>
    </r>
    <r>
      <rPr>
        <b/>
        <sz val="11"/>
        <color rgb="FF7F7F7F"/>
        <rFont val="Arial"/>
        <family val="2"/>
      </rPr>
      <t xml:space="preserve">
Gr=15</t>
    </r>
  </si>
  <si>
    <r>
      <rPr>
        <b/>
        <sz val="11"/>
        <color rgb="FF006EFF"/>
        <rFont val="Arial"/>
        <family val="2"/>
      </rPr>
      <t>●</t>
    </r>
    <r>
      <rPr>
        <b/>
        <sz val="11"/>
        <color rgb="FF000000"/>
        <rFont val="Arial"/>
        <family val="2"/>
      </rPr>
      <t>Cross-source Reasoning</t>
    </r>
    <r>
      <rPr>
        <b/>
        <sz val="11"/>
        <color rgb="FF7F7F7F"/>
        <rFont val="Arial"/>
        <family val="2"/>
      </rPr>
      <t xml:space="preserve">
Gr=49</t>
    </r>
  </si>
  <si>
    <r>
      <rPr>
        <b/>
        <sz val="11"/>
        <color rgb="FF006EFF"/>
        <rFont val="Arial"/>
        <family val="2"/>
      </rPr>
      <t>●</t>
    </r>
    <r>
      <rPr>
        <b/>
        <sz val="11"/>
        <color rgb="FF000000"/>
        <rFont val="Arial"/>
        <family val="2"/>
      </rPr>
      <t>Source creditibily Judgment</t>
    </r>
    <r>
      <rPr>
        <b/>
        <sz val="11"/>
        <color rgb="FF7F7F7F"/>
        <rFont val="Arial"/>
        <family val="2"/>
      </rPr>
      <t xml:space="preserve">
Gr=70</t>
    </r>
  </si>
  <si>
    <r>
      <rPr>
        <b/>
        <sz val="11"/>
        <color rgb="FF006EFF"/>
        <rFont val="Arial"/>
        <family val="2"/>
      </rPr>
      <t>●</t>
    </r>
    <r>
      <rPr>
        <b/>
        <sz val="11"/>
        <color rgb="FF000000"/>
        <rFont val="Arial"/>
        <family val="2"/>
      </rPr>
      <t>Text-based reasoning</t>
    </r>
    <r>
      <rPr>
        <b/>
        <sz val="11"/>
        <color rgb="FF7F7F7F"/>
        <rFont val="Arial"/>
        <family val="2"/>
      </rPr>
      <t xml:space="preserve">
Gr=50</t>
    </r>
  </si>
  <si>
    <r>
      <rPr>
        <b/>
        <sz val="11"/>
        <color rgb="FF006EFF"/>
        <rFont val="Arial"/>
        <family val="2"/>
      </rPr>
      <t>●</t>
    </r>
    <r>
      <rPr>
        <b/>
        <sz val="11"/>
        <color rgb="FF000000"/>
        <rFont val="Arial"/>
        <family val="2"/>
      </rPr>
      <t>Visual-based reasoning</t>
    </r>
    <r>
      <rPr>
        <b/>
        <sz val="11"/>
        <color rgb="FF7F7F7F"/>
        <rFont val="Arial"/>
        <family val="2"/>
      </rPr>
      <t xml:space="preserve">
Gr=52</t>
    </r>
  </si>
  <si>
    <t>○PH3_ResultsExamination</t>
  </si>
  <si>
    <t>○PH4_InformationExtraction</t>
  </si>
  <si>
    <t>Reasoning Group</t>
  </si>
  <si>
    <t>Reasoning code</t>
  </si>
  <si>
    <t>○PH5_AnswerConstruction</t>
  </si>
  <si>
    <t>Total amount of reasoning per stage</t>
  </si>
  <si>
    <r>
      <rPr>
        <b/>
        <sz val="11"/>
        <color rgb="FF46AA00"/>
        <rFont val="Arial"/>
        <family val="2"/>
      </rPr>
      <t>●</t>
    </r>
    <r>
      <rPr>
        <b/>
        <sz val="11"/>
        <color theme="1"/>
        <rFont val="Arial"/>
        <family val="2"/>
      </rPr>
      <t xml:space="preserve">Query-term </t>
    </r>
    <r>
      <rPr>
        <b/>
        <sz val="11"/>
        <color rgb="FF000000"/>
        <rFont val="Arial"/>
        <family val="2"/>
      </rPr>
      <t>reasoning</t>
    </r>
    <r>
      <rPr>
        <b/>
        <sz val="11"/>
        <color rgb="FF7F7F7F"/>
        <rFont val="Arial"/>
        <family val="2"/>
      </rPr>
      <t xml:space="preserve">
Gr=74</t>
    </r>
  </si>
  <si>
    <r>
      <rPr>
        <sz val="11"/>
        <color rgb="FF46AA00"/>
        <rFont val="Arial"/>
        <family val="2"/>
      </rPr>
      <t>●</t>
    </r>
    <r>
      <rPr>
        <sz val="11"/>
        <rFont val="Arial"/>
        <family val="2"/>
      </rPr>
      <t xml:space="preserve"> Query-term reasoning</t>
    </r>
  </si>
  <si>
    <t>Completion-driven reasoning</t>
  </si>
  <si>
    <t>Crediblity-based reasoning</t>
  </si>
  <si>
    <t xml:space="preserve">   Negotiated reasoning</t>
  </si>
  <si>
    <t>Openly disagreeing about the action or information.</t>
  </si>
  <si>
    <t>4th grade ID</t>
  </si>
  <si>
    <t>3rd grade</t>
  </si>
  <si>
    <t>ID15 - Open-ended</t>
  </si>
  <si>
    <t>ID17 - Multi-step</t>
  </si>
  <si>
    <t>“Flag, India, history, and fun facts…but I don't want to read!”</t>
  </si>
  <si>
    <t>"Bandiera, indiana, storia e curiosità…ma non voglio leggere!</t>
  </si>
  <si>
    <t>“I read it earlier, that's right, and I saw that the ‘G’ was there.”</t>
  </si>
  <si>
    <t>"Ho letto prima è giusto, ho visto che c’era la G."</t>
  </si>
  <si>
    <t>ID13 - Open-ended</t>
  </si>
  <si>
    <t>ID03 - Open-ended</t>
  </si>
  <si>
    <t>ID04 - Open-ended</t>
  </si>
  <si>
    <t>"K2: A me sembra che ci sia anche il pavone. 
K3: allora dobbiamo andare su un altro sito perche non sono tipici."</t>
  </si>
  <si>
    <t>ID09 - Open-ended</t>
  </si>
  <si>
    <t>ID04 - Fact-finding</t>
  </si>
  <si>
    <t>"Abbiamo trovato andromeda, triangolo e gruppo locale, possiamo scrivere la risposta"</t>
  </si>
  <si>
    <t>ID14 - Open-ended</t>
  </si>
  <si>
    <t>ID03 - Multi-step</t>
  </si>
  <si>
    <t>ID10 - Multi-step</t>
  </si>
  <si>
    <t>ID10 - Fact-finding</t>
  </si>
  <si>
    <t>"K2: Terra
K1: Ma no la terra non è un satellite."</t>
  </si>
  <si>
    <t>ID04 - Multi-step</t>
  </si>
  <si>
    <t>ID09 - Fact-finding</t>
  </si>
  <si>
    <t>ID18 - Open-ended</t>
  </si>
  <si>
    <t>ID14 - Multi-step</t>
  </si>
  <si>
    <t>ID18 - Multi-step</t>
  </si>
  <si>
    <t>ID15 - Multi-step</t>
  </si>
  <si>
    <t>"Guarda come si fa, lo so usare meglio di te. Faccio io! "</t>
  </si>
  <si>
    <t>ID08 - Open-ended</t>
  </si>
  <si>
    <t>ID18-Open-ended</t>
  </si>
  <si>
    <t>ID16 - Open-ended</t>
  </si>
  <si>
    <t>ID01 - Multi-step</t>
  </si>
  <si>
    <t>"Devo scrivere "Io"? Ma non ha senso"</t>
  </si>
  <si>
    <t>ID11 - Fact-finding</t>
  </si>
  <si>
    <t>"K2: Il nilo!
K1: Ma no è dell’Egitto quello."</t>
  </si>
  <si>
    <t>ID18 - Fact-finding</t>
  </si>
  <si>
    <t>"K2: That's the one, junior!
K1: No, junior, that's no good."</t>
  </si>
  <si>
    <t>"K2: I'll do it now.
K1: Wait. We each have two things. What are the animals of India?"</t>
  </si>
  <si>
    <t>ID02 - Open-ended</t>
  </si>
  <si>
    <t>ID10 - Open-ended</t>
  </si>
  <si>
    <t>ID02 - Multi-step</t>
  </si>
  <si>
    <t>"Ma se scriviamo una cosa a caso ci da il pezzo? Ok dai andiamo."</t>
  </si>
  <si>
    <t>ID06 - Fact-finding</t>
  </si>
  <si>
    <t>"K2: Ma abbiamo scritto la stessa cosa!
K1: Quali sono, no manca la U!"</t>
  </si>
  <si>
    <t>"K2: But we wrote the same thing!
K1: What are they? Wait, the ‘U’ is missing!“”"</t>
  </si>
  <si>
    <t>ID12-Fact-finding</t>
  </si>
  <si>
    <r>
      <rPr>
        <sz val="11"/>
        <color rgb="FF006EFF"/>
        <rFont val="Arial"/>
        <family val="2"/>
      </rPr>
      <t>●</t>
    </r>
    <r>
      <rPr>
        <sz val="11"/>
        <rFont val="Arial"/>
        <family val="2"/>
      </rPr>
      <t xml:space="preserve"> Credibilty-based reasoning</t>
    </r>
  </si>
  <si>
    <t>ID17- Open-ended</t>
  </si>
  <si>
    <t>"K3: Cose piu corte, per esempio bandiera dell’india
K1: Ok, bandiera dell’india, india maiuscolo."</t>
  </si>
  <si>
    <t>ID11 - Open-ended</t>
  </si>
  <si>
    <t>ID05 - Fact-finding</t>
  </si>
  <si>
    <t>"My grandma had a dog."</t>
  </si>
  <si>
    <t>"Yeah, but it's easy, bro, it's easy. We can do it!"</t>
  </si>
  <si>
    <t>"There's a problem, there are so many of them."</t>
  </si>
  <si>
    <t>"K2: Earth.
K1: No, Earth is not a satellite."</t>
  </si>
  <si>
    <t xml:space="preserve">"Look how it's done, I can use it better than you. I'll do it!"
</t>
  </si>
  <si>
    <t>"K1: Let's write the answer.
K2: Can I write it?
K1: Yes, sure."</t>
  </si>
  <si>
    <t>"We only found some ladies on the beach posting on social media."</t>
  </si>
  <si>
    <t>"K1: Nooo, please, I'm not going to rewrite the whole thing—I can't do it.
K2: I'll do it."</t>
  </si>
  <si>
    <t>"Oh, but it's too long. For now let's do "what is the name of the symbol", ok?"</t>
  </si>
  <si>
    <t>"K2: Are you sure it is "centre"?
K1: Yes, "centre"."</t>
  </si>
  <si>
    <t>"K2: The Nile!
K1: No, that one is Egypt's."</t>
  </si>
  <si>
    <t>"Sorry, but I have to do it! I have to write 1858."</t>
  </si>
  <si>
    <t>"But what are "industi"? I got it wrong. Sacred, of the Indians. Let me correct"</t>
  </si>
  <si>
    <t>"Let's think about a shorter thing. For example, "flag of India".
Ok, flag of India, India with a capital letter."</t>
  </si>
  <si>
    <t>"Come on, wrap it up so we can see the piece! That's right! We're so smart! How awesome!!"</t>
  </si>
  <si>
    <t>"I am sure it's the first one. Now what do we do?"</t>
  </si>
  <si>
    <t>"I already know one, the peacock."</t>
  </si>
  <si>
    <t>"K1: Remember the pictures of those cute typical animals of India.
K2: I remember the rhinoceros."</t>
  </si>
  <si>
    <t>"I remember that you have India in your sticker book."</t>
  </si>
  <si>
    <t>" India, religion and the Ganges, the sacred river of India, so the answer is the Ganges."</t>
  </si>
  <si>
    <t>"K2: We've done four. We need to add some more. The monkey?
K1: Okay, monkey."</t>
  </si>
  <si>
    <t>"K3: Simba on the Indian flag
K1: That doesn't make much sense. Simba?"</t>
  </si>
  <si>
    <t>"Let's write 5 typical animals of India."</t>
  </si>
  <si>
    <t>"You made a mistake. You wrote “what.” You wrote ‘what’ instead of “what is”."</t>
  </si>
  <si>
    <t>"K2: It looks to me like there's a peacock, too.
K3: Then we have to go to another site because those aren't typical."</t>
  </si>
  <si>
    <t>"Let's switch websites; this one doesn't really convince us. They don't explain anything to us."</t>
  </si>
  <si>
    <t>"No no, this one is fake."</t>
  </si>
  <si>
    <t>"I am reading the text, but it doesn't say what the symbol means."</t>
  </si>
  <si>
    <t>"Here, let's look at the flag. Maybe it could mean a solar eclipse, because a solar eclipse is a blue sun."</t>
  </si>
  <si>
    <t>"Abbiamo solo trovato delle signore in spiaggia che si facevano I social"</t>
  </si>
  <si>
    <t>"K1: Nooo ti prego, io non la riscrivo tutta, non posso farcela.
K2: Lo faccio io"</t>
  </si>
  <si>
    <t>"Oh ma è troppo lunga, per ora facciamo qual è il nome del simbolo, ok?"</t>
  </si>
  <si>
    <t>"K1: Sei sicuro che è centro?
K2: Si, centro."</t>
  </si>
  <si>
    <t>"Scusa ma devo farlo! Devo scrivere 1858."</t>
  </si>
  <si>
    <t>"K2: Adesso lo faccio io. 
K1: Aspetta. Due cose a testa sono. Quali sono i animali dell'India?"</t>
  </si>
  <si>
    <t>"Ma cosa sono gli industi. Ho sbagliato. Sacro, degli indiani. Lasciami correggere"</t>
  </si>
  <si>
    <t>"Dai termina cosi vediamo il pezzo! È giusto! Siamo troppo intelligenti! Che bello!!"</t>
  </si>
  <si>
    <t>"Sono sicuro che è la prima! Ora cosa facciamo?"</t>
  </si>
  <si>
    <t>"Io uno lo so, il pavone"</t>
  </si>
  <si>
    <t>"K1: Ricordati le immagini di quei cute animali tipici dell’india
K2: Mi ricordo il rinocerone"</t>
  </si>
  <si>
    <t>"Mi ricordo che nel tuo libretto delle figurine hai l'India."</t>
  </si>
  <si>
    <t>"India, la religione e il Gange, il fiume sacro dell’India, quindi la risposta è il Gange."</t>
  </si>
  <si>
    <t>"K2: Noi ne abbiamo fatti 4. Dobbiamo aggiungerne altri. La scimmia?
K1: Ok scimmia."</t>
  </si>
  <si>
    <t>"K3: il simba della bandiera dell’India
K1: Non ha tanto senso. Simba?"</t>
  </si>
  <si>
    <t>"Scriviamo 5 animali tipici dell'India"</t>
  </si>
  <si>
    <t>"Hai sbagliato. Hai scritto quale. Hai scritto quale invece di qual è."</t>
  </si>
  <si>
    <t>"Cambiamo sito, questo non ci convince tanto. Non ci spiegano niente"</t>
  </si>
  <si>
    <t>"Nono, è fake questo."</t>
  </si>
  <si>
    <t>"Sto leggendo il testo ma non c'è scritto cosa significa il simbolo"</t>
  </si>
  <si>
    <t>"Ecco guardiamo la bandiera. Forse puo significare l’eclissi solare perche è un sole blu l’eclissi solare."</t>
  </si>
  <si>
    <t>"But it's a drawing, we can't copy the names"</t>
  </si>
  <si>
    <t>"But in this webpage the text doesn't say anything"</t>
  </si>
  <si>
    <t>"K2: Do we have to read all this?
K1: No, thanks. Let's go back."</t>
  </si>
  <si>
    <t>"Wait, let's copy it! That's all you have to do to copy it! You're not tech-savvy. See, do this: copy it, go to the back, and paste it."</t>
  </si>
  <si>
    <t>"K1: Okay, those are right.
K2: Wait, we need to check if that's right. Okay, you wrote it correctly."</t>
  </si>
  <si>
    <t>"But if we write something random, will it give us the piece? Ok, come on, let's go."</t>
  </si>
  <si>
    <t>"Click on the first one, it brings good luck!"</t>
  </si>
  <si>
    <t>"K2: Do you remember the question?
K1: Yes! What are three other galaxies?
K2: No, wait—do you want to review the question?
K1: No, I remember it."</t>
  </si>
  <si>
    <t>"We remembered it from that thing (the book) you gave us."</t>
  </si>
  <si>
    <t>"Yes, but we need 3, not 1."</t>
  </si>
  <si>
    <t>"Here we found Andromeda, Triangulum and the Local Group, we can write the answer"</t>
  </si>
  <si>
    <t>"Yes, Laika, the first dog on Earth  who then died. Yes, it was Laika, I remember"</t>
  </si>
  <si>
    <t>"Should I write "Io"? But it doesn't make sense"</t>
  </si>
  <si>
    <t>"Jupiter with a capital letter!"</t>
  </si>
  <si>
    <t>"K1: Here it says the monkey!
K2: The monkey!
K1: No, I don't think it's this one. I think it was the first one."</t>
  </si>
  <si>
    <t>"Let's look at other sources."</t>
  </si>
  <si>
    <t>"It must be reliable, because there is also a museum."</t>
  </si>
  <si>
    <t>"Ma è un disegno, non possiamo copiare i nomi"</t>
  </si>
  <si>
    <t>"Mia nonna aveva un cane"</t>
  </si>
  <si>
    <t>"Si ma è easy bro, è easy. Ce la facciamo!"</t>
  </si>
  <si>
    <t>"C'è un problema, ce ne sono tantissimi."</t>
  </si>
  <si>
    <t>"K2: Questa è giusta, junior!
K1: No junior non serve a niente"</t>
  </si>
  <si>
    <t>"K1: Scriviamo la risposta. 
K2: Posso scrivere io?
K1: Si certo.'</t>
  </si>
  <si>
    <t>"K2: Dobbiamo leggere tutto questo?
K1: No grazie, torniamo indietro."</t>
  </si>
  <si>
    <t>"Aspetta, copiamo! Basta fare così per copiare! Tu non sei tecnologico. Vedi, fai così, copi e vai dietro e incolli."</t>
  </si>
  <si>
    <t>"K1: ok sono giuste. 
K2: Aspetta, dobbiamo guardare se è giusta. Ok, hai scritto bene."</t>
  </si>
  <si>
    <t>"Fai la prima, la prima porta fortuna"</t>
  </si>
  <si>
    <t>"Sii Laika, il primo cane sulla terra che poi è morto. Si, era Laika, mi ricordo"</t>
  </si>
  <si>
    <t>"K2: Ti ricordi la domanda?
K1: Si! Quali sono altre tre galassie
K2: No aspetta, vuoi rivedere la domanda?
K1: Nono mi ricordo."</t>
  </si>
  <si>
    <t>"Ce lo siamo ricordati dal coso(il libro) che ci avevi dato."</t>
  </si>
  <si>
    <t>"Ma ce ne servono 3 non 1"</t>
  </si>
  <si>
    <t>"Scriviamo " Quali sono i nomi delle altre galassie oltre la nostra""</t>
  </si>
  <si>
    <t>"Let's write "What are the names of other galaxies apart from ours""</t>
  </si>
  <si>
    <t>"Giove con la lettera grande!"</t>
  </si>
  <si>
    <t>"K1: Qui dice la scimmia!
K2: La scimmia!
K1: No secondo me non è questo. Secondo me era il primo."</t>
  </si>
  <si>
    <t>"Vediamo altre risorse."</t>
  </si>
  <si>
    <t>"Questo deve essere giusto, c'è anche un museo"</t>
  </si>
  <si>
    <t>"Ma in questo sito il testo non dice niente!"</t>
  </si>
  <si>
    <t>Source-based reasoning</t>
  </si>
  <si>
    <r>
      <rPr>
        <sz val="11"/>
        <color rgb="FF46AA00"/>
        <rFont val="Arial"/>
        <family val="2"/>
      </rPr>
      <t>●</t>
    </r>
    <r>
      <rPr>
        <sz val="11"/>
        <rFont val="Arial"/>
        <family val="2"/>
      </rPr>
      <t xml:space="preserve"> Ortographic-focused reasoning</t>
    </r>
  </si>
  <si>
    <r>
      <rPr>
        <sz val="11"/>
        <color rgb="FF966450"/>
        <rFont val="Arial"/>
        <family val="2"/>
      </rPr>
      <t>●</t>
    </r>
    <r>
      <rPr>
        <sz val="11"/>
        <rFont val="Arial"/>
        <family val="2"/>
      </rPr>
      <t xml:space="preserve"> Emotion-driven reasoning</t>
    </r>
  </si>
  <si>
    <t>Orthographic-based reasoning</t>
  </si>
  <si>
    <t>Query-term reasoning</t>
  </si>
  <si>
    <t xml:space="preserve">   Query-term reasoning</t>
  </si>
  <si>
    <t>Error-based reasoning</t>
  </si>
  <si>
    <t xml:space="preserve">   Memory-based reasoning</t>
  </si>
  <si>
    <r>
      <rPr>
        <b/>
        <sz val="11"/>
        <color rgb="FF000000"/>
        <rFont val="Arial"/>
        <family val="2"/>
      </rPr>
      <t>○Source-based Reasoning</t>
    </r>
    <r>
      <rPr>
        <b/>
        <sz val="11"/>
        <color rgb="FF7F7F7F"/>
        <rFont val="Arial"/>
        <family val="2"/>
      </rPr>
      <t xml:space="preserve">
Gr=198</t>
    </r>
  </si>
  <si>
    <r>
      <rPr>
        <b/>
        <sz val="11"/>
        <color rgb="FF46AA00"/>
        <rFont val="Arial"/>
        <family val="2"/>
      </rPr>
      <t>●</t>
    </r>
    <r>
      <rPr>
        <b/>
        <sz val="11"/>
        <color rgb="FF000000"/>
        <rFont val="Arial"/>
        <family val="2"/>
      </rPr>
      <t>Ortographic-focused reasoning</t>
    </r>
    <r>
      <rPr>
        <b/>
        <sz val="11"/>
        <color rgb="FF7F7F7F"/>
        <rFont val="Arial"/>
        <family val="2"/>
      </rPr>
      <t xml:space="preserve">
Gr=87</t>
    </r>
  </si>
  <si>
    <r>
      <rPr>
        <b/>
        <sz val="11"/>
        <color rgb="FFDC0000"/>
        <rFont val="Arial"/>
        <family val="2"/>
      </rPr>
      <t>●</t>
    </r>
    <r>
      <rPr>
        <b/>
        <sz val="11"/>
        <rFont val="Arial"/>
        <family val="2"/>
      </rPr>
      <t>Completion-driven reasoning</t>
    </r>
    <r>
      <rPr>
        <b/>
        <sz val="11"/>
        <color rgb="FF7F7F7F"/>
        <rFont val="Arial"/>
        <family val="2"/>
      </rPr>
      <t xml:space="preserve">
Gr=105</t>
    </r>
  </si>
  <si>
    <r>
      <rPr>
        <sz val="11"/>
        <color rgb="FFDC0000"/>
        <rFont val="Arial"/>
        <family val="2"/>
      </rPr>
      <t>●</t>
    </r>
    <r>
      <rPr>
        <sz val="11"/>
        <rFont val="Arial"/>
        <family val="2"/>
      </rPr>
      <t xml:space="preserve"> Completion-driven reasoning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</si>
</sst>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1" x14ac:knownFonts="1"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sz val="11"/>
      <color rgb="FF006EFF"/>
      <name val="Arial"/>
      <family val="2"/>
    </font>
    <font>
      <sz val="11"/>
      <color rgb="FF46AA00"/>
      <name val="Arial"/>
      <family val="2"/>
    </font>
    <font>
      <sz val="11"/>
      <color rgb="FFFFBE00"/>
      <name val="Arial"/>
      <family val="2"/>
    </font>
    <font>
      <sz val="11"/>
      <color rgb="FFFF7800"/>
      <name val="Arial"/>
      <family val="2"/>
    </font>
    <font>
      <sz val="11"/>
      <color rgb="FFDC0000"/>
      <name val="Arial"/>
      <family val="2"/>
    </font>
    <font>
      <sz val="11"/>
      <color rgb="FF8C32A0"/>
      <name val="Arial"/>
      <family val="2"/>
    </font>
    <font>
      <sz val="11"/>
      <color rgb="FF463CC8"/>
      <name val="Arial"/>
      <family val="2"/>
    </font>
    <font>
      <sz val="11"/>
      <color rgb="FF966450"/>
      <name val="Arial"/>
      <family val="2"/>
    </font>
    <font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sz val="11"/>
      <color theme="0" tint="-0.34998626667073579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0000"/>
      <name val="Arial"/>
      <family val="2"/>
    </font>
    <font>
      <b/>
      <sz val="11"/>
      <color rgb="FF7F7F7F"/>
      <name val="Arial"/>
      <family val="2"/>
    </font>
    <font>
      <b/>
      <sz val="11"/>
      <color rgb="FF8C32A0"/>
      <name val="Arial"/>
      <family val="2"/>
    </font>
    <font>
      <b/>
      <sz val="11"/>
      <color rgb="FF006EFF"/>
      <name val="Arial"/>
      <family val="2"/>
    </font>
    <font>
      <b/>
      <sz val="11"/>
      <color rgb="FFFFBE00"/>
      <name val="Arial"/>
      <family val="2"/>
    </font>
    <font>
      <b/>
      <sz val="11"/>
      <color rgb="FF463CC8"/>
      <name val="Arial"/>
      <family val="2"/>
    </font>
    <font>
      <b/>
      <sz val="11"/>
      <color rgb="FF966450"/>
      <name val="Arial"/>
      <family val="2"/>
    </font>
    <font>
      <b/>
      <sz val="11"/>
      <color rgb="FFFF7800"/>
      <name val="Arial"/>
      <family val="2"/>
    </font>
    <font>
      <b/>
      <sz val="11"/>
      <color rgb="FF46AA00"/>
      <name val="Arial"/>
      <family val="2"/>
    </font>
    <font>
      <b/>
      <sz val="11"/>
      <color rgb="FFDC0000"/>
      <name val="Arial"/>
      <family val="2"/>
    </font>
    <font>
      <b/>
      <u/>
      <sz val="11"/>
      <name val="Arial"/>
      <family val="2"/>
    </font>
    <font>
      <i/>
      <sz val="1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sz val="11"/>
      <color theme="0"/>
      <name val="Arial"/>
      <family val="2"/>
    </font>
    <font>
      <i/>
      <sz val="11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theme="1" tint="0.499984740745262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rgb="FFBFBFBF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BFBF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16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4" borderId="0" xfId="0" applyFill="1"/>
    <xf numFmtId="0" fontId="5" fillId="0" borderId="0" xfId="0" applyFont="1"/>
    <xf numFmtId="0" fontId="3" fillId="0" borderId="0" xfId="0" applyFont="1"/>
    <xf numFmtId="0" fontId="20" fillId="4" borderId="9" xfId="0" applyFont="1" applyFill="1" applyBorder="1" applyAlignment="1">
      <alignment horizontal="center" vertical="center"/>
    </xf>
    <xf numFmtId="0" fontId="20" fillId="4" borderId="10" xfId="0" applyFont="1" applyFill="1" applyBorder="1" applyAlignment="1">
      <alignment horizontal="center" vertical="center"/>
    </xf>
    <xf numFmtId="0" fontId="20" fillId="4" borderId="11" xfId="0" applyFont="1" applyFill="1" applyBorder="1" applyAlignment="1">
      <alignment horizontal="center" vertical="center"/>
    </xf>
    <xf numFmtId="0" fontId="20" fillId="4" borderId="12" xfId="0" applyFont="1" applyFill="1" applyBorder="1" applyAlignment="1">
      <alignment horizontal="center" vertical="center"/>
    </xf>
    <xf numFmtId="0" fontId="16" fillId="4" borderId="13" xfId="0" applyFont="1" applyFill="1" applyBorder="1" applyAlignment="1">
      <alignment horizontal="center" vertical="center"/>
    </xf>
    <xf numFmtId="0" fontId="21" fillId="2" borderId="14" xfId="0" applyFont="1" applyFill="1" applyBorder="1"/>
    <xf numFmtId="2" fontId="22" fillId="2" borderId="9" xfId="0" applyNumberFormat="1" applyFont="1" applyFill="1" applyBorder="1"/>
    <xf numFmtId="9" fontId="23" fillId="2" borderId="9" xfId="1" applyFont="1" applyFill="1" applyBorder="1"/>
    <xf numFmtId="2" fontId="22" fillId="2" borderId="12" xfId="0" applyNumberFormat="1" applyFont="1" applyFill="1" applyBorder="1"/>
    <xf numFmtId="9" fontId="22" fillId="2" borderId="9" xfId="1" applyFont="1" applyFill="1" applyBorder="1"/>
    <xf numFmtId="2" fontId="22" fillId="2" borderId="11" xfId="0" applyNumberFormat="1" applyFont="1" applyFill="1" applyBorder="1"/>
    <xf numFmtId="9" fontId="22" fillId="2" borderId="15" xfId="0" applyNumberFormat="1" applyFont="1" applyFill="1" applyBorder="1"/>
    <xf numFmtId="0" fontId="3" fillId="0" borderId="16" xfId="0" applyFont="1" applyBorder="1"/>
    <xf numFmtId="2" fontId="24" fillId="0" borderId="17" xfId="0" applyNumberFormat="1" applyFont="1" applyBorder="1" applyAlignment="1">
      <alignment horizontal="right" vertical="center"/>
    </xf>
    <xf numFmtId="9" fontId="22" fillId="0" borderId="17" xfId="1" applyFont="1" applyFill="1" applyBorder="1"/>
    <xf numFmtId="2" fontId="24" fillId="0" borderId="0" xfId="0" applyNumberFormat="1" applyFont="1" applyAlignment="1">
      <alignment horizontal="right" vertical="center"/>
    </xf>
    <xf numFmtId="9" fontId="23" fillId="0" borderId="17" xfId="1" applyFont="1" applyFill="1" applyBorder="1"/>
    <xf numFmtId="0" fontId="3" fillId="0" borderId="18" xfId="0" applyFont="1" applyBorder="1"/>
    <xf numFmtId="2" fontId="24" fillId="0" borderId="19" xfId="0" applyNumberFormat="1" applyFont="1" applyBorder="1" applyAlignment="1">
      <alignment horizontal="right" vertical="center"/>
    </xf>
    <xf numFmtId="9" fontId="23" fillId="0" borderId="19" xfId="1" applyFont="1" applyFill="1" applyBorder="1"/>
    <xf numFmtId="2" fontId="24" fillId="0" borderId="20" xfId="0" applyNumberFormat="1" applyFont="1" applyBorder="1" applyAlignment="1">
      <alignment horizontal="right" vertical="center"/>
    </xf>
    <xf numFmtId="9" fontId="22" fillId="0" borderId="19" xfId="1" applyFont="1" applyFill="1" applyBorder="1"/>
    <xf numFmtId="9" fontId="22" fillId="2" borderId="21" xfId="0" applyNumberFormat="1" applyFont="1" applyFill="1" applyBorder="1"/>
    <xf numFmtId="0" fontId="21" fillId="2" borderId="8" xfId="0" applyFont="1" applyFill="1" applyBorder="1"/>
    <xf numFmtId="2" fontId="22" fillId="2" borderId="22" xfId="0" applyNumberFormat="1" applyFont="1" applyFill="1" applyBorder="1"/>
    <xf numFmtId="9" fontId="23" fillId="2" borderId="22" xfId="1" applyFont="1" applyFill="1" applyBorder="1"/>
    <xf numFmtId="9" fontId="22" fillId="2" borderId="22" xfId="1" applyFont="1" applyFill="1" applyBorder="1"/>
    <xf numFmtId="0" fontId="3" fillId="0" borderId="23" xfId="0" applyFont="1" applyBorder="1"/>
    <xf numFmtId="2" fontId="24" fillId="0" borderId="24" xfId="0" applyNumberFormat="1" applyFont="1" applyBorder="1" applyAlignment="1">
      <alignment horizontal="right" vertical="center"/>
    </xf>
    <xf numFmtId="9" fontId="23" fillId="0" borderId="24" xfId="1" applyFont="1" applyFill="1" applyBorder="1"/>
    <xf numFmtId="2" fontId="24" fillId="0" borderId="25" xfId="0" applyNumberFormat="1" applyFont="1" applyBorder="1" applyAlignment="1">
      <alignment horizontal="right" vertical="center"/>
    </xf>
    <xf numFmtId="9" fontId="22" fillId="0" borderId="24" xfId="1" applyFont="1" applyFill="1" applyBorder="1"/>
    <xf numFmtId="9" fontId="22" fillId="2" borderId="26" xfId="0" applyNumberFormat="1" applyFont="1" applyFill="1" applyBorder="1"/>
    <xf numFmtId="0" fontId="20" fillId="0" borderId="0" xfId="0" applyFont="1"/>
    <xf numFmtId="0" fontId="20" fillId="0" borderId="27" xfId="0" applyFont="1" applyBorder="1"/>
    <xf numFmtId="2" fontId="3" fillId="0" borderId="0" xfId="0" applyNumberFormat="1" applyFont="1"/>
    <xf numFmtId="1" fontId="0" fillId="0" borderId="0" xfId="0" applyNumberFormat="1"/>
    <xf numFmtId="0" fontId="6" fillId="4" borderId="0" xfId="0" applyFont="1" applyFill="1" applyAlignment="1">
      <alignment horizontal="left" vertical="center"/>
    </xf>
    <xf numFmtId="0" fontId="18" fillId="4" borderId="0" xfId="0" applyFont="1" applyFill="1" applyAlignment="1">
      <alignment horizontal="left" vertical="center"/>
    </xf>
    <xf numFmtId="0" fontId="25" fillId="4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0" fillId="2" borderId="29" xfId="0" applyFill="1" applyBorder="1"/>
    <xf numFmtId="1" fontId="4" fillId="2" borderId="29" xfId="0" applyNumberFormat="1" applyFont="1" applyFill="1" applyBorder="1" applyAlignment="1">
      <alignment horizontal="right" vertical="center"/>
    </xf>
    <xf numFmtId="1" fontId="4" fillId="2" borderId="30" xfId="0" applyNumberFormat="1" applyFont="1" applyFill="1" applyBorder="1" applyAlignment="1">
      <alignment horizontal="right" vertical="center"/>
    </xf>
    <xf numFmtId="1" fontId="4" fillId="0" borderId="31" xfId="0" applyNumberFormat="1" applyFont="1" applyBorder="1" applyAlignment="1">
      <alignment horizontal="right" vertical="center"/>
    </xf>
    <xf numFmtId="0" fontId="4" fillId="0" borderId="25" xfId="0" applyFont="1" applyBorder="1" applyAlignment="1">
      <alignment horizontal="left" vertical="top" wrapText="1"/>
    </xf>
    <xf numFmtId="0" fontId="6" fillId="2" borderId="28" xfId="0" applyFont="1" applyFill="1" applyBorder="1" applyAlignment="1">
      <alignment vertical="top" wrapText="1"/>
    </xf>
    <xf numFmtId="0" fontId="6" fillId="2" borderId="16" xfId="0" applyFont="1" applyFill="1" applyBorder="1" applyAlignment="1">
      <alignment vertical="top" wrapText="1"/>
    </xf>
    <xf numFmtId="0" fontId="4" fillId="2" borderId="16" xfId="0" applyFont="1" applyFill="1" applyBorder="1" applyAlignment="1">
      <alignment vertical="top" wrapText="1"/>
    </xf>
    <xf numFmtId="0" fontId="0" fillId="2" borderId="0" xfId="0" applyFill="1"/>
    <xf numFmtId="1" fontId="4" fillId="2" borderId="0" xfId="0" applyNumberFormat="1" applyFont="1" applyFill="1" applyAlignment="1">
      <alignment horizontal="right" vertical="center"/>
    </xf>
    <xf numFmtId="1" fontId="4" fillId="2" borderId="31" xfId="0" applyNumberFormat="1" applyFont="1" applyFill="1" applyBorder="1" applyAlignment="1">
      <alignment horizontal="right" vertical="center"/>
    </xf>
    <xf numFmtId="0" fontId="6" fillId="2" borderId="18" xfId="0" applyFont="1" applyFill="1" applyBorder="1" applyAlignment="1">
      <alignment vertical="top" wrapText="1"/>
    </xf>
    <xf numFmtId="0" fontId="4" fillId="0" borderId="20" xfId="0" applyFont="1" applyBorder="1" applyAlignment="1">
      <alignment horizontal="left" vertical="top" wrapText="1"/>
    </xf>
    <xf numFmtId="1" fontId="4" fillId="0" borderId="33" xfId="0" applyNumberFormat="1" applyFont="1" applyBorder="1" applyAlignment="1">
      <alignment horizontal="right" vertical="center"/>
    </xf>
    <xf numFmtId="0" fontId="4" fillId="2" borderId="18" xfId="0" applyFont="1" applyFill="1" applyBorder="1" applyAlignment="1">
      <alignment vertical="top" wrapText="1"/>
    </xf>
    <xf numFmtId="0" fontId="19" fillId="3" borderId="16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5" fillId="0" borderId="16" xfId="0" applyFont="1" applyBorder="1"/>
    <xf numFmtId="0" fontId="6" fillId="0" borderId="34" xfId="0" applyFont="1" applyBorder="1"/>
    <xf numFmtId="0" fontId="19" fillId="3" borderId="13" xfId="0" applyFont="1" applyFill="1" applyBorder="1" applyAlignment="1">
      <alignment horizontal="center" vertical="center" wrapText="1"/>
    </xf>
    <xf numFmtId="0" fontId="6" fillId="5" borderId="15" xfId="0" applyFont="1" applyFill="1" applyBorder="1"/>
    <xf numFmtId="0" fontId="6" fillId="5" borderId="36" xfId="0" applyFont="1" applyFill="1" applyBorder="1"/>
    <xf numFmtId="0" fontId="6" fillId="0" borderId="37" xfId="0" applyFont="1" applyBorder="1"/>
    <xf numFmtId="0" fontId="19" fillId="3" borderId="15" xfId="0" applyFont="1" applyFill="1" applyBorder="1" applyAlignment="1">
      <alignment horizontal="center" vertical="center" wrapText="1"/>
    </xf>
    <xf numFmtId="0" fontId="19" fillId="5" borderId="15" xfId="0" applyFont="1" applyFill="1" applyBorder="1"/>
    <xf numFmtId="0" fontId="19" fillId="5" borderId="36" xfId="0" applyFont="1" applyFill="1" applyBorder="1"/>
    <xf numFmtId="0" fontId="5" fillId="0" borderId="35" xfId="0" applyFont="1" applyBorder="1"/>
    <xf numFmtId="0" fontId="6" fillId="4" borderId="38" xfId="0" applyFont="1" applyFill="1" applyBorder="1" applyAlignment="1">
      <alignment vertical="center" wrapText="1"/>
    </xf>
    <xf numFmtId="1" fontId="4" fillId="0" borderId="0" xfId="0" applyNumberFormat="1" applyFont="1" applyAlignment="1">
      <alignment horizontal="right" vertical="center"/>
    </xf>
    <xf numFmtId="1" fontId="4" fillId="0" borderId="20" xfId="0" applyNumberFormat="1" applyFont="1" applyBorder="1" applyAlignment="1">
      <alignment horizontal="right" vertical="center"/>
    </xf>
    <xf numFmtId="1" fontId="4" fillId="0" borderId="25" xfId="0" applyNumberFormat="1" applyFont="1" applyBorder="1" applyAlignment="1">
      <alignment horizontal="right" vertical="center"/>
    </xf>
    <xf numFmtId="1" fontId="4" fillId="0" borderId="32" xfId="0" applyNumberFormat="1" applyFont="1" applyBorder="1" applyAlignment="1">
      <alignment horizontal="right" vertical="center"/>
    </xf>
    <xf numFmtId="1" fontId="35" fillId="0" borderId="31" xfId="0" applyNumberFormat="1" applyFont="1" applyBorder="1" applyAlignment="1">
      <alignment horizontal="right" vertical="center"/>
    </xf>
    <xf numFmtId="1" fontId="35" fillId="0" borderId="0" xfId="0" applyNumberFormat="1" applyFont="1" applyAlignment="1">
      <alignment horizontal="right" vertical="center"/>
    </xf>
    <xf numFmtId="1" fontId="35" fillId="0" borderId="20" xfId="0" applyNumberFormat="1" applyFont="1" applyBorder="1" applyAlignment="1">
      <alignment horizontal="right" vertical="center"/>
    </xf>
    <xf numFmtId="1" fontId="18" fillId="0" borderId="0" xfId="0" applyNumberFormat="1" applyFont="1"/>
    <xf numFmtId="1" fontId="35" fillId="0" borderId="33" xfId="0" applyNumberFormat="1" applyFont="1" applyBorder="1" applyAlignment="1">
      <alignment horizontal="right" vertical="center"/>
    </xf>
    <xf numFmtId="0" fontId="6" fillId="0" borderId="0" xfId="0" applyFont="1" applyAlignment="1">
      <alignment horizontal="left" vertical="top" wrapText="1"/>
    </xf>
    <xf numFmtId="1" fontId="35" fillId="0" borderId="25" xfId="0" applyNumberFormat="1" applyFont="1" applyBorder="1" applyAlignment="1">
      <alignment horizontal="right" vertical="center"/>
    </xf>
    <xf numFmtId="0" fontId="2" fillId="0" borderId="16" xfId="0" applyFont="1" applyBorder="1"/>
    <xf numFmtId="0" fontId="0" fillId="0" borderId="31" xfId="0" applyBorder="1" applyAlignment="1">
      <alignment wrapText="1"/>
    </xf>
    <xf numFmtId="1" fontId="39" fillId="6" borderId="0" xfId="0" applyNumberFormat="1" applyFont="1" applyFill="1" applyAlignment="1">
      <alignment horizontal="left" vertical="center" wrapText="1"/>
    </xf>
    <xf numFmtId="0" fontId="40" fillId="6" borderId="0" xfId="0" applyFont="1" applyFill="1" applyAlignment="1">
      <alignment horizontal="left" vertical="center" wrapText="1"/>
    </xf>
    <xf numFmtId="1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1" fontId="4" fillId="0" borderId="25" xfId="0" applyNumberFormat="1" applyFont="1" applyBorder="1" applyAlignment="1">
      <alignment horizontal="left" vertical="center" wrapText="1"/>
    </xf>
    <xf numFmtId="0" fontId="4" fillId="0" borderId="25" xfId="0" applyFont="1" applyBorder="1" applyAlignment="1">
      <alignment horizontal="left" vertical="center" wrapText="1"/>
    </xf>
    <xf numFmtId="1" fontId="4" fillId="0" borderId="20" xfId="0" applyNumberFormat="1" applyFont="1" applyBorder="1" applyAlignment="1">
      <alignment horizontal="left" vertical="center" wrapText="1"/>
    </xf>
    <xf numFmtId="0" fontId="4" fillId="0" borderId="20" xfId="0" applyFont="1" applyBorder="1" applyAlignment="1">
      <alignment horizontal="left" vertical="center" wrapText="1"/>
    </xf>
    <xf numFmtId="0" fontId="4" fillId="0" borderId="33" xfId="0" applyFont="1" applyBorder="1" applyAlignment="1">
      <alignment horizontal="left" vertical="center" wrapText="1"/>
    </xf>
    <xf numFmtId="0" fontId="39" fillId="6" borderId="16" xfId="0" applyFont="1" applyFill="1" applyBorder="1" applyAlignment="1">
      <alignment vertical="center" wrapText="1"/>
    </xf>
    <xf numFmtId="0" fontId="36" fillId="0" borderId="0" xfId="0" applyFont="1" applyAlignment="1">
      <alignment horizontal="left" vertical="center" wrapText="1"/>
    </xf>
    <xf numFmtId="0" fontId="39" fillId="6" borderId="0" xfId="0" applyFont="1" applyFill="1" applyAlignment="1">
      <alignment horizontal="left" vertical="center" wrapText="1"/>
    </xf>
    <xf numFmtId="0" fontId="38" fillId="2" borderId="0" xfId="0" applyFont="1" applyFill="1" applyAlignment="1">
      <alignment horizontal="left" vertical="center" wrapText="1"/>
    </xf>
    <xf numFmtId="0" fontId="38" fillId="2" borderId="20" xfId="0" applyFont="1" applyFill="1" applyBorder="1" applyAlignment="1">
      <alignment horizontal="left" vertical="center" wrapText="1"/>
    </xf>
    <xf numFmtId="0" fontId="6" fillId="4" borderId="39" xfId="0" applyFont="1" applyFill="1" applyBorder="1" applyAlignment="1">
      <alignment vertical="center" wrapText="1"/>
    </xf>
    <xf numFmtId="0" fontId="39" fillId="6" borderId="15" xfId="0" applyFont="1" applyFill="1" applyBorder="1" applyAlignment="1">
      <alignment vertical="center" wrapText="1"/>
    </xf>
    <xf numFmtId="0" fontId="39" fillId="6" borderId="21" xfId="0" applyFont="1" applyFill="1" applyBorder="1" applyAlignment="1">
      <alignment vertical="center" wrapText="1"/>
    </xf>
    <xf numFmtId="0" fontId="39" fillId="6" borderId="21" xfId="0" applyFont="1" applyFill="1" applyBorder="1" applyAlignment="1">
      <alignment horizontal="left" vertical="center" wrapText="1"/>
    </xf>
    <xf numFmtId="0" fontId="17" fillId="6" borderId="15" xfId="0" applyFont="1" applyFill="1" applyBorder="1" applyAlignment="1">
      <alignment vertical="center" wrapText="1"/>
    </xf>
    <xf numFmtId="0" fontId="17" fillId="6" borderId="26" xfId="0" applyFont="1" applyFill="1" applyBorder="1" applyAlignment="1">
      <alignment vertical="center" wrapText="1"/>
    </xf>
    <xf numFmtId="0" fontId="0" fillId="0" borderId="15" xfId="0" applyBorder="1" applyAlignment="1">
      <alignment wrapText="1"/>
    </xf>
    <xf numFmtId="0" fontId="4" fillId="0" borderId="32" xfId="0" applyFont="1" applyBorder="1" applyAlignment="1">
      <alignment horizontal="left" vertical="center" wrapText="1"/>
    </xf>
    <xf numFmtId="0" fontId="0" fillId="0" borderId="16" xfId="0" applyBorder="1" applyAlignment="1">
      <alignment wrapText="1"/>
    </xf>
    <xf numFmtId="0" fontId="19" fillId="4" borderId="38" xfId="0" applyFont="1" applyFill="1" applyBorder="1" applyAlignment="1">
      <alignment vertical="center" wrapText="1"/>
    </xf>
    <xf numFmtId="0" fontId="19" fillId="4" borderId="6" xfId="0" applyFont="1" applyFill="1" applyBorder="1" applyAlignment="1">
      <alignment vertical="center" wrapText="1"/>
    </xf>
    <xf numFmtId="0" fontId="19" fillId="4" borderId="7" xfId="0" applyFont="1" applyFill="1" applyBorder="1" applyAlignment="1">
      <alignment vertical="center" wrapText="1"/>
    </xf>
    <xf numFmtId="0" fontId="39" fillId="6" borderId="0" xfId="0" applyFont="1" applyFill="1" applyAlignment="1">
      <alignment vertical="center" wrapText="1"/>
    </xf>
    <xf numFmtId="0" fontId="39" fillId="6" borderId="31" xfId="0" applyFont="1" applyFill="1" applyBorder="1" applyAlignment="1">
      <alignment vertical="center" wrapText="1"/>
    </xf>
    <xf numFmtId="0" fontId="40" fillId="6" borderId="0" xfId="0" applyFont="1" applyFill="1" applyAlignment="1">
      <alignment vertical="center" wrapText="1"/>
    </xf>
    <xf numFmtId="0" fontId="37" fillId="0" borderId="0" xfId="0" applyFont="1" applyAlignment="1">
      <alignment vertical="center" wrapText="1"/>
    </xf>
    <xf numFmtId="0" fontId="37" fillId="0" borderId="16" xfId="0" applyFont="1" applyBorder="1" applyAlignment="1">
      <alignment vertical="center" wrapText="1"/>
    </xf>
    <xf numFmtId="0" fontId="38" fillId="2" borderId="1" xfId="0" applyFont="1" applyFill="1" applyBorder="1" applyAlignment="1">
      <alignment vertical="center" wrapText="1"/>
    </xf>
    <xf numFmtId="0" fontId="37" fillId="0" borderId="31" xfId="0" applyFont="1" applyBorder="1" applyAlignment="1">
      <alignment vertical="center" wrapText="1"/>
    </xf>
    <xf numFmtId="0" fontId="38" fillId="2" borderId="0" xfId="0" applyFont="1" applyFill="1" applyAlignment="1">
      <alignment vertical="center" wrapText="1"/>
    </xf>
    <xf numFmtId="0" fontId="37" fillId="0" borderId="20" xfId="0" applyFont="1" applyBorder="1" applyAlignment="1">
      <alignment vertical="center" wrapText="1"/>
    </xf>
    <xf numFmtId="0" fontId="37" fillId="0" borderId="18" xfId="0" applyFont="1" applyBorder="1" applyAlignment="1">
      <alignment vertical="center" wrapText="1"/>
    </xf>
    <xf numFmtId="0" fontId="38" fillId="2" borderId="20" xfId="0" applyFont="1" applyFill="1" applyBorder="1" applyAlignment="1">
      <alignment vertical="center" wrapText="1"/>
    </xf>
    <xf numFmtId="0" fontId="37" fillId="0" borderId="33" xfId="0" applyFont="1" applyBorder="1" applyAlignment="1">
      <alignment vertical="center" wrapText="1"/>
    </xf>
    <xf numFmtId="0" fontId="38" fillId="0" borderId="31" xfId="0" applyFont="1" applyBorder="1" applyAlignment="1">
      <alignment vertical="center" wrapText="1"/>
    </xf>
    <xf numFmtId="0" fontId="38" fillId="0" borderId="0" xfId="0" applyFont="1" applyAlignment="1">
      <alignment vertical="center" wrapText="1"/>
    </xf>
    <xf numFmtId="0" fontId="37" fillId="6" borderId="0" xfId="0" applyFont="1" applyFill="1" applyAlignment="1">
      <alignment vertical="center" wrapText="1"/>
    </xf>
    <xf numFmtId="0" fontId="37" fillId="6" borderId="16" xfId="0" applyFont="1" applyFill="1" applyBorder="1" applyAlignment="1">
      <alignment vertical="center" wrapText="1"/>
    </xf>
    <xf numFmtId="0" fontId="37" fillId="6" borderId="31" xfId="0" applyFont="1" applyFill="1" applyBorder="1" applyAlignment="1">
      <alignment vertical="center" wrapText="1"/>
    </xf>
    <xf numFmtId="0" fontId="38" fillId="6" borderId="0" xfId="0" applyFont="1" applyFill="1" applyAlignment="1">
      <alignment vertical="center" wrapText="1"/>
    </xf>
    <xf numFmtId="0" fontId="37" fillId="0" borderId="25" xfId="0" applyFont="1" applyBorder="1" applyAlignment="1">
      <alignment vertical="center" wrapText="1"/>
    </xf>
    <xf numFmtId="0" fontId="37" fillId="0" borderId="23" xfId="0" applyFont="1" applyBorder="1" applyAlignment="1">
      <alignment vertical="center" wrapText="1"/>
    </xf>
    <xf numFmtId="0" fontId="38" fillId="2" borderId="25" xfId="0" applyFont="1" applyFill="1" applyBorder="1" applyAlignment="1">
      <alignment vertical="center" wrapText="1"/>
    </xf>
    <xf numFmtId="0" fontId="36" fillId="0" borderId="31" xfId="0" applyFont="1" applyBorder="1" applyAlignment="1">
      <alignment horizontal="left" vertical="center" wrapText="1"/>
    </xf>
    <xf numFmtId="0" fontId="36" fillId="0" borderId="33" xfId="0" applyFont="1" applyBorder="1" applyAlignment="1">
      <alignment horizontal="left" vertical="center" wrapText="1"/>
    </xf>
    <xf numFmtId="0" fontId="38" fillId="0" borderId="33" xfId="0" applyFont="1" applyBorder="1" applyAlignment="1">
      <alignment vertical="center" wrapText="1"/>
    </xf>
    <xf numFmtId="0" fontId="38" fillId="0" borderId="32" xfId="0" applyFont="1" applyBorder="1" applyAlignment="1">
      <alignment vertical="center" wrapText="1"/>
    </xf>
    <xf numFmtId="0" fontId="5" fillId="0" borderId="0" xfId="0" applyFont="1" applyAlignment="1">
      <alignment horizontal="left" vertical="top" wrapText="1"/>
    </xf>
    <xf numFmtId="0" fontId="19" fillId="3" borderId="38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19" fillId="3" borderId="28" xfId="0" applyFont="1" applyFill="1" applyBorder="1" applyAlignment="1">
      <alignment horizontal="center" vertical="center" wrapText="1"/>
    </xf>
    <xf numFmtId="0" fontId="19" fillId="3" borderId="16" xfId="0" applyFont="1" applyFill="1" applyBorder="1" applyAlignment="1">
      <alignment horizontal="center" vertical="center" wrapText="1"/>
    </xf>
    <xf numFmtId="0" fontId="19" fillId="3" borderId="29" xfId="0" applyFont="1" applyFill="1" applyBorder="1" applyAlignment="1">
      <alignment horizontal="center" vertical="center" wrapText="1"/>
    </xf>
    <xf numFmtId="0" fontId="19" fillId="3" borderId="0" xfId="0" applyFont="1" applyFill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0" fillId="4" borderId="8" xfId="0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 vertical="center"/>
    </xf>
    <xf numFmtId="0" fontId="20" fillId="4" borderId="4" xfId="0" applyFont="1" applyFill="1" applyBorder="1" applyAlignment="1">
      <alignment horizontal="center" vertical="center"/>
    </xf>
    <xf numFmtId="0" fontId="20" fillId="4" borderId="5" xfId="0" applyFont="1" applyFill="1" applyBorder="1" applyAlignment="1">
      <alignment horizontal="center" vertical="center"/>
    </xf>
    <xf numFmtId="0" fontId="16" fillId="4" borderId="6" xfId="0" applyFont="1" applyFill="1" applyBorder="1" applyAlignment="1">
      <alignment horizontal="center"/>
    </xf>
    <xf numFmtId="0" fontId="16" fillId="4" borderId="7" xfId="0" applyFont="1" applyFill="1" applyBorder="1" applyAlignment="1">
      <alignment horizontal="center"/>
    </xf>
    <xf numFmtId="0" fontId="6" fillId="2" borderId="16" xfId="0" applyFont="1" applyFill="1" applyBorder="1" applyAlignment="1">
      <alignment horizontal="left" vertical="top" wrapText="1"/>
    </xf>
    <xf numFmtId="0" fontId="6" fillId="2" borderId="23" xfId="0" applyFont="1" applyFill="1" applyBorder="1" applyAlignment="1">
      <alignment horizontal="left" vertical="top" wrapText="1"/>
    </xf>
    <xf numFmtId="9" fontId="0" fillId="0" borderId="0" xfId="1" applyFont="1"/>
    <xf numFmtId="0" fontId="1" fillId="0" borderId="16" xfId="0" applyFont="1" applyBorder="1"/>
    <xf numFmtId="0" fontId="1" fillId="0" borderId="18" xfId="0" applyFont="1" applyBorder="1"/>
    <xf numFmtId="0" fontId="6" fillId="0" borderId="20" xfId="0" applyFont="1" applyBorder="1" applyAlignment="1">
      <alignment horizontal="left" vertical="top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FAD55-D643-4ED5-B151-1FD1B5DE2686}">
  <dimension ref="A1:K35"/>
  <sheetViews>
    <sheetView topLeftCell="A10" zoomScale="82" workbookViewId="0">
      <selection activeCell="B20" sqref="B20"/>
    </sheetView>
  </sheetViews>
  <sheetFormatPr baseColWidth="10" defaultColWidth="8.83203125" defaultRowHeight="13" x14ac:dyDescent="0.15"/>
  <cols>
    <col min="1" max="1" width="25.83203125" style="109" customWidth="1"/>
    <col min="2" max="2" width="30.5" style="1" bestFit="1" customWidth="1"/>
    <col min="3" max="3" width="12.5" style="1" bestFit="1" customWidth="1"/>
    <col min="4" max="4" width="93.1640625" style="2" bestFit="1" customWidth="1"/>
    <col min="5" max="5" width="21.83203125" style="1" bestFit="1" customWidth="1"/>
    <col min="6" max="6" width="18.1640625" style="111" bestFit="1" customWidth="1"/>
    <col min="7" max="7" width="69.1640625" style="1" bestFit="1" customWidth="1"/>
    <col min="8" max="8" width="63.5" style="87" bestFit="1" customWidth="1"/>
    <col min="9" max="9" width="18.5" style="1" bestFit="1" customWidth="1"/>
    <col min="10" max="10" width="75.83203125" style="1" bestFit="1" customWidth="1"/>
    <col min="11" max="11" width="62.5" style="1" bestFit="1" customWidth="1"/>
    <col min="12" max="16384" width="8.83203125" style="1"/>
  </cols>
  <sheetData>
    <row r="1" spans="1:11" ht="31" thickBot="1" x14ac:dyDescent="0.2">
      <c r="A1" s="103" t="s">
        <v>63</v>
      </c>
      <c r="B1" s="112" t="s">
        <v>64</v>
      </c>
      <c r="C1" s="74" t="s">
        <v>62</v>
      </c>
      <c r="D1" s="74" t="s">
        <v>61</v>
      </c>
      <c r="E1" s="112" t="s">
        <v>65</v>
      </c>
      <c r="F1" s="113" t="s">
        <v>191</v>
      </c>
      <c r="G1" s="112" t="s">
        <v>112</v>
      </c>
      <c r="H1" s="114" t="s">
        <v>111</v>
      </c>
      <c r="I1" s="112" t="s">
        <v>190</v>
      </c>
      <c r="J1" s="112" t="s">
        <v>113</v>
      </c>
      <c r="K1" s="114" t="s">
        <v>114</v>
      </c>
    </row>
    <row r="2" spans="1:11" ht="15" x14ac:dyDescent="0.15">
      <c r="A2" s="104" t="s">
        <v>1</v>
      </c>
      <c r="B2" s="115"/>
      <c r="C2" s="88">
        <v>61</v>
      </c>
      <c r="D2" s="89" t="s">
        <v>52</v>
      </c>
      <c r="E2" s="115">
        <v>15</v>
      </c>
      <c r="F2" s="98"/>
      <c r="G2" s="115"/>
      <c r="H2" s="116"/>
      <c r="I2" s="115"/>
      <c r="J2" s="117"/>
      <c r="K2" s="116"/>
    </row>
    <row r="3" spans="1:11" ht="15" x14ac:dyDescent="0.15">
      <c r="A3" s="104"/>
      <c r="B3" s="91" t="s">
        <v>0</v>
      </c>
      <c r="C3" s="90">
        <v>31</v>
      </c>
      <c r="D3" s="91" t="s">
        <v>2</v>
      </c>
      <c r="E3" s="118">
        <v>14</v>
      </c>
      <c r="F3" s="119" t="s">
        <v>212</v>
      </c>
      <c r="G3" s="120" t="s">
        <v>246</v>
      </c>
      <c r="H3" s="92" t="s">
        <v>269</v>
      </c>
      <c r="I3" s="91" t="s">
        <v>213</v>
      </c>
      <c r="J3" s="120" t="s">
        <v>240</v>
      </c>
      <c r="K3" s="127" t="s">
        <v>308</v>
      </c>
    </row>
    <row r="4" spans="1:11" ht="30" x14ac:dyDescent="0.15">
      <c r="A4" s="104"/>
      <c r="B4" s="91" t="s">
        <v>330</v>
      </c>
      <c r="C4" s="90">
        <v>28</v>
      </c>
      <c r="D4" s="91" t="s">
        <v>3</v>
      </c>
      <c r="E4" s="118">
        <v>12</v>
      </c>
      <c r="F4" s="119" t="s">
        <v>214</v>
      </c>
      <c r="G4" s="122" t="s">
        <v>247</v>
      </c>
      <c r="H4" s="92" t="s">
        <v>270</v>
      </c>
      <c r="I4" s="99" t="s">
        <v>207</v>
      </c>
      <c r="J4" s="122" t="s">
        <v>241</v>
      </c>
      <c r="K4" s="136" t="s">
        <v>309</v>
      </c>
    </row>
    <row r="5" spans="1:11" ht="16" thickBot="1" x14ac:dyDescent="0.2">
      <c r="A5" s="105"/>
      <c r="B5" s="96" t="s">
        <v>4</v>
      </c>
      <c r="C5" s="95">
        <v>10</v>
      </c>
      <c r="D5" s="96" t="s">
        <v>5</v>
      </c>
      <c r="E5" s="123">
        <v>5</v>
      </c>
      <c r="F5" s="124" t="s">
        <v>214</v>
      </c>
      <c r="G5" s="125" t="s">
        <v>248</v>
      </c>
      <c r="H5" s="97" t="s">
        <v>271</v>
      </c>
      <c r="I5" s="96" t="s">
        <v>213</v>
      </c>
      <c r="J5" s="125" t="s">
        <v>242</v>
      </c>
      <c r="K5" s="138" t="s">
        <v>310</v>
      </c>
    </row>
    <row r="6" spans="1:11" ht="36" customHeight="1" thickTop="1" x14ac:dyDescent="0.15">
      <c r="A6" s="104" t="s">
        <v>7</v>
      </c>
      <c r="B6" s="115"/>
      <c r="C6" s="88">
        <v>220</v>
      </c>
      <c r="D6" s="100" t="s">
        <v>53</v>
      </c>
      <c r="E6" s="115">
        <v>18</v>
      </c>
      <c r="F6" s="98"/>
      <c r="G6" s="115"/>
      <c r="H6" s="116"/>
      <c r="I6" s="115"/>
      <c r="J6" s="117"/>
      <c r="K6" s="116"/>
    </row>
    <row r="7" spans="1:11" ht="30" x14ac:dyDescent="0.15">
      <c r="A7" s="104"/>
      <c r="B7" s="91" t="s">
        <v>6</v>
      </c>
      <c r="C7" s="90">
        <v>51</v>
      </c>
      <c r="D7" s="91" t="s">
        <v>8</v>
      </c>
      <c r="E7" s="118">
        <v>16</v>
      </c>
      <c r="F7" s="119" t="s">
        <v>206</v>
      </c>
      <c r="G7" s="120" t="s">
        <v>249</v>
      </c>
      <c r="H7" s="127" t="s">
        <v>272</v>
      </c>
      <c r="I7" s="128" t="s">
        <v>208</v>
      </c>
      <c r="J7" s="120" t="s">
        <v>243</v>
      </c>
      <c r="K7" s="127" t="s">
        <v>209</v>
      </c>
    </row>
    <row r="8" spans="1:11" ht="30" x14ac:dyDescent="0.15">
      <c r="A8" s="104"/>
      <c r="B8" s="91" t="s">
        <v>9</v>
      </c>
      <c r="C8" s="90">
        <v>53</v>
      </c>
      <c r="D8" s="91" t="s">
        <v>189</v>
      </c>
      <c r="E8" s="118">
        <v>16</v>
      </c>
      <c r="F8" s="119" t="s">
        <v>224</v>
      </c>
      <c r="G8" s="120" t="s">
        <v>250</v>
      </c>
      <c r="H8" s="121" t="s">
        <v>223</v>
      </c>
      <c r="I8" s="118" t="s">
        <v>202</v>
      </c>
      <c r="J8" s="120" t="s">
        <v>225</v>
      </c>
      <c r="K8" s="136" t="s">
        <v>311</v>
      </c>
    </row>
    <row r="9" spans="1:11" ht="30" x14ac:dyDescent="0.15">
      <c r="A9" s="104"/>
      <c r="B9" s="91" t="s">
        <v>10</v>
      </c>
      <c r="C9" s="90">
        <v>17</v>
      </c>
      <c r="D9" s="91" t="s">
        <v>11</v>
      </c>
      <c r="E9" s="118">
        <v>11</v>
      </c>
      <c r="F9" s="119" t="s">
        <v>193</v>
      </c>
      <c r="G9" s="120" t="s">
        <v>251</v>
      </c>
      <c r="H9" s="92" t="s">
        <v>273</v>
      </c>
      <c r="I9" s="118" t="s">
        <v>215</v>
      </c>
      <c r="J9" s="120" t="s">
        <v>244</v>
      </c>
      <c r="K9" s="127" t="s">
        <v>216</v>
      </c>
    </row>
    <row r="10" spans="1:11" ht="46" thickBot="1" x14ac:dyDescent="0.2">
      <c r="A10" s="105"/>
      <c r="B10" s="96" t="s">
        <v>12</v>
      </c>
      <c r="C10" s="95">
        <v>115</v>
      </c>
      <c r="D10" s="96" t="s">
        <v>13</v>
      </c>
      <c r="E10" s="123">
        <v>18</v>
      </c>
      <c r="F10" s="124" t="s">
        <v>227</v>
      </c>
      <c r="G10" s="125" t="s">
        <v>226</v>
      </c>
      <c r="H10" s="97" t="s">
        <v>274</v>
      </c>
      <c r="I10" s="123" t="s">
        <v>208</v>
      </c>
      <c r="J10" s="125" t="s">
        <v>245</v>
      </c>
      <c r="K10" s="137" t="s">
        <v>312</v>
      </c>
    </row>
    <row r="11" spans="1:11" ht="16" thickTop="1" x14ac:dyDescent="0.15">
      <c r="A11" s="104" t="s">
        <v>15</v>
      </c>
      <c r="B11" s="129"/>
      <c r="C11" s="88">
        <v>84</v>
      </c>
      <c r="D11" s="89" t="s">
        <v>54</v>
      </c>
      <c r="E11" s="115">
        <v>16</v>
      </c>
      <c r="F11" s="130"/>
      <c r="G11" s="129"/>
      <c r="H11" s="131"/>
      <c r="I11" s="129"/>
      <c r="J11" s="132"/>
      <c r="K11" s="131"/>
    </row>
    <row r="12" spans="1:11" ht="30" x14ac:dyDescent="0.15">
      <c r="A12" s="104"/>
      <c r="B12" s="91" t="s">
        <v>14</v>
      </c>
      <c r="C12" s="90">
        <v>19</v>
      </c>
      <c r="D12" s="91" t="s">
        <v>16</v>
      </c>
      <c r="E12" s="118">
        <v>10</v>
      </c>
      <c r="F12" s="119" t="s">
        <v>193</v>
      </c>
      <c r="G12" s="122" t="s">
        <v>194</v>
      </c>
      <c r="H12" s="121" t="s">
        <v>195</v>
      </c>
      <c r="I12" s="118" t="s">
        <v>192</v>
      </c>
      <c r="J12" s="101" t="s">
        <v>292</v>
      </c>
      <c r="K12" s="136" t="s">
        <v>313</v>
      </c>
    </row>
    <row r="13" spans="1:11" ht="30" x14ac:dyDescent="0.15">
      <c r="A13" s="104"/>
      <c r="B13" s="91" t="s">
        <v>17</v>
      </c>
      <c r="C13" s="90">
        <v>18</v>
      </c>
      <c r="D13" s="91" t="s">
        <v>18</v>
      </c>
      <c r="E13" s="118">
        <v>11</v>
      </c>
      <c r="F13" s="119" t="s">
        <v>231</v>
      </c>
      <c r="G13" s="120" t="s">
        <v>252</v>
      </c>
      <c r="H13" s="92" t="s">
        <v>275</v>
      </c>
      <c r="I13" s="118" t="s">
        <v>234</v>
      </c>
      <c r="J13" s="120" t="s">
        <v>233</v>
      </c>
      <c r="K13" s="127" t="s">
        <v>232</v>
      </c>
    </row>
    <row r="14" spans="1:11" ht="30" x14ac:dyDescent="0.15">
      <c r="A14" s="104"/>
      <c r="B14" s="91" t="s">
        <v>19</v>
      </c>
      <c r="C14" s="90">
        <v>26</v>
      </c>
      <c r="D14" s="91" t="s">
        <v>20</v>
      </c>
      <c r="E14" s="118">
        <v>13</v>
      </c>
      <c r="F14" s="119" t="s">
        <v>210</v>
      </c>
      <c r="G14" s="120" t="s">
        <v>253</v>
      </c>
      <c r="H14" s="121" t="s">
        <v>237</v>
      </c>
      <c r="I14" s="118" t="s">
        <v>238</v>
      </c>
      <c r="J14" s="120" t="s">
        <v>293</v>
      </c>
      <c r="K14" s="136" t="s">
        <v>314</v>
      </c>
    </row>
    <row r="15" spans="1:11" ht="31" thickBot="1" x14ac:dyDescent="0.2">
      <c r="A15" s="105"/>
      <c r="B15" s="96" t="s">
        <v>21</v>
      </c>
      <c r="C15" s="95">
        <v>26</v>
      </c>
      <c r="D15" s="96" t="s">
        <v>22</v>
      </c>
      <c r="E15" s="123">
        <v>12</v>
      </c>
      <c r="F15" s="124" t="s">
        <v>199</v>
      </c>
      <c r="G15" s="125" t="s">
        <v>196</v>
      </c>
      <c r="H15" s="97" t="s">
        <v>197</v>
      </c>
      <c r="I15" s="96" t="s">
        <v>198</v>
      </c>
      <c r="J15" s="102" t="s">
        <v>294</v>
      </c>
      <c r="K15" s="137" t="s">
        <v>315</v>
      </c>
    </row>
    <row r="16" spans="1:11" ht="16" thickTop="1" x14ac:dyDescent="0.15">
      <c r="A16" s="104" t="s">
        <v>24</v>
      </c>
      <c r="B16" s="115"/>
      <c r="C16" s="88">
        <v>127</v>
      </c>
      <c r="D16" s="89" t="s">
        <v>55</v>
      </c>
      <c r="E16" s="115">
        <v>18</v>
      </c>
      <c r="F16" s="98"/>
      <c r="G16" s="115"/>
      <c r="H16" s="116"/>
      <c r="I16" s="115"/>
      <c r="J16" s="117"/>
      <c r="K16" s="116"/>
    </row>
    <row r="17" spans="1:11" ht="30" x14ac:dyDescent="0.15">
      <c r="A17" s="104"/>
      <c r="B17" s="91" t="s">
        <v>23</v>
      </c>
      <c r="C17" s="90">
        <v>25</v>
      </c>
      <c r="D17" s="91" t="s">
        <v>25</v>
      </c>
      <c r="E17" s="118">
        <v>14</v>
      </c>
      <c r="F17" s="119" t="s">
        <v>217</v>
      </c>
      <c r="G17" s="122" t="s">
        <v>254</v>
      </c>
      <c r="H17" s="121" t="s">
        <v>276</v>
      </c>
      <c r="I17" s="118" t="s">
        <v>208</v>
      </c>
      <c r="J17" s="120" t="s">
        <v>295</v>
      </c>
      <c r="K17" s="127" t="s">
        <v>230</v>
      </c>
    </row>
    <row r="18" spans="1:11" ht="31" thickBot="1" x14ac:dyDescent="0.2">
      <c r="A18" s="105"/>
      <c r="B18" s="96" t="s">
        <v>339</v>
      </c>
      <c r="C18" s="95">
        <v>105</v>
      </c>
      <c r="D18" s="96" t="s">
        <v>60</v>
      </c>
      <c r="E18" s="123">
        <v>18</v>
      </c>
      <c r="F18" s="124" t="s">
        <v>239</v>
      </c>
      <c r="G18" s="125" t="s">
        <v>255</v>
      </c>
      <c r="H18" s="126" t="s">
        <v>277</v>
      </c>
      <c r="I18" s="123" t="s">
        <v>198</v>
      </c>
      <c r="J18" s="125" t="s">
        <v>296</v>
      </c>
      <c r="K18" s="138" t="s">
        <v>316</v>
      </c>
    </row>
    <row r="19" spans="1:11" ht="16" thickTop="1" x14ac:dyDescent="0.15">
      <c r="A19" s="104" t="s">
        <v>27</v>
      </c>
      <c r="B19" s="115"/>
      <c r="C19" s="88">
        <v>118</v>
      </c>
      <c r="D19" s="89" t="s">
        <v>56</v>
      </c>
      <c r="E19" s="115">
        <v>18</v>
      </c>
      <c r="F19" s="98"/>
      <c r="G19" s="115"/>
      <c r="H19" s="116"/>
      <c r="I19" s="115"/>
      <c r="J19" s="117"/>
      <c r="K19" s="116"/>
    </row>
    <row r="20" spans="1:11" ht="31" customHeight="1" x14ac:dyDescent="0.15">
      <c r="A20" s="104"/>
      <c r="B20" s="91" t="s">
        <v>26</v>
      </c>
      <c r="C20" s="90">
        <v>56</v>
      </c>
      <c r="D20" s="91" t="s">
        <v>28</v>
      </c>
      <c r="E20" s="118">
        <v>15</v>
      </c>
      <c r="F20" s="119" t="s">
        <v>200</v>
      </c>
      <c r="G20" s="122" t="s">
        <v>256</v>
      </c>
      <c r="H20" s="121" t="s">
        <v>278</v>
      </c>
      <c r="I20" s="118"/>
      <c r="J20" s="122" t="s">
        <v>301</v>
      </c>
      <c r="K20" s="127" t="s">
        <v>317</v>
      </c>
    </row>
    <row r="21" spans="1:11" ht="60" x14ac:dyDescent="0.15">
      <c r="A21" s="104"/>
      <c r="B21" s="91" t="s">
        <v>29</v>
      </c>
      <c r="C21" s="90">
        <v>77</v>
      </c>
      <c r="D21" s="91" t="s">
        <v>30</v>
      </c>
      <c r="E21" s="118">
        <v>17</v>
      </c>
      <c r="F21" s="119" t="s">
        <v>218</v>
      </c>
      <c r="G21" s="120" t="s">
        <v>257</v>
      </c>
      <c r="H21" s="121" t="s">
        <v>279</v>
      </c>
      <c r="I21" s="118" t="s">
        <v>219</v>
      </c>
      <c r="J21" s="120" t="s">
        <v>297</v>
      </c>
      <c r="K21" s="136" t="s">
        <v>318</v>
      </c>
    </row>
    <row r="22" spans="1:11" ht="16" thickBot="1" x14ac:dyDescent="0.2">
      <c r="A22" s="105"/>
      <c r="B22" s="96" t="s">
        <v>31</v>
      </c>
      <c r="C22" s="95">
        <v>20</v>
      </c>
      <c r="D22" s="96" t="s">
        <v>32</v>
      </c>
      <c r="E22" s="123">
        <v>10</v>
      </c>
      <c r="F22" s="124" t="s">
        <v>229</v>
      </c>
      <c r="G22" s="125" t="s">
        <v>258</v>
      </c>
      <c r="H22" s="126" t="s">
        <v>280</v>
      </c>
      <c r="I22" s="123" t="s">
        <v>207</v>
      </c>
      <c r="J22" s="125" t="s">
        <v>298</v>
      </c>
      <c r="K22" s="137" t="s">
        <v>319</v>
      </c>
    </row>
    <row r="23" spans="1:11" ht="16" thickTop="1" x14ac:dyDescent="0.15">
      <c r="A23" s="104" t="s">
        <v>34</v>
      </c>
      <c r="B23" s="115"/>
      <c r="C23" s="88">
        <v>57</v>
      </c>
      <c r="D23" s="89" t="s">
        <v>57</v>
      </c>
      <c r="E23" s="115">
        <v>18</v>
      </c>
      <c r="F23" s="98"/>
      <c r="G23" s="115"/>
      <c r="H23" s="116"/>
      <c r="I23" s="115"/>
      <c r="J23" s="117"/>
      <c r="K23" s="116"/>
    </row>
    <row r="24" spans="1:11" ht="30" x14ac:dyDescent="0.15">
      <c r="A24" s="104"/>
      <c r="B24" s="91" t="s">
        <v>33</v>
      </c>
      <c r="C24" s="90">
        <v>28</v>
      </c>
      <c r="D24" s="91" t="s">
        <v>35</v>
      </c>
      <c r="E24" s="118">
        <v>15</v>
      </c>
      <c r="F24" s="119" t="s">
        <v>203</v>
      </c>
      <c r="G24" s="120" t="s">
        <v>259</v>
      </c>
      <c r="H24" s="92" t="s">
        <v>281</v>
      </c>
      <c r="I24" s="118" t="s">
        <v>205</v>
      </c>
      <c r="J24" s="122" t="s">
        <v>300</v>
      </c>
      <c r="K24" s="136" t="s">
        <v>204</v>
      </c>
    </row>
    <row r="25" spans="1:11" ht="31" thickBot="1" x14ac:dyDescent="0.2">
      <c r="A25" s="106"/>
      <c r="B25" s="96" t="s">
        <v>36</v>
      </c>
      <c r="C25" s="95">
        <v>33</v>
      </c>
      <c r="D25" s="96" t="s">
        <v>37</v>
      </c>
      <c r="E25" s="123">
        <v>16</v>
      </c>
      <c r="F25" s="124" t="s">
        <v>217</v>
      </c>
      <c r="G25" s="125" t="s">
        <v>260</v>
      </c>
      <c r="H25" s="97" t="s">
        <v>282</v>
      </c>
      <c r="I25" s="123"/>
      <c r="J25" s="125" t="s">
        <v>299</v>
      </c>
      <c r="K25" s="138" t="s">
        <v>320</v>
      </c>
    </row>
    <row r="26" spans="1:11" ht="16" thickTop="1" x14ac:dyDescent="0.15">
      <c r="A26" s="104" t="s">
        <v>39</v>
      </c>
      <c r="B26" s="115"/>
      <c r="C26" s="88">
        <v>179</v>
      </c>
      <c r="D26" s="89" t="s">
        <v>58</v>
      </c>
      <c r="E26" s="115">
        <v>18</v>
      </c>
      <c r="F26" s="98"/>
      <c r="G26" s="115"/>
      <c r="H26" s="116"/>
      <c r="I26" s="115"/>
      <c r="J26" s="117"/>
      <c r="K26" s="116"/>
    </row>
    <row r="27" spans="1:11" ht="30" x14ac:dyDescent="0.15">
      <c r="A27" s="104"/>
      <c r="B27" s="91" t="s">
        <v>38</v>
      </c>
      <c r="C27" s="90">
        <v>27</v>
      </c>
      <c r="D27" s="91" t="s">
        <v>40</v>
      </c>
      <c r="E27" s="118">
        <v>13</v>
      </c>
      <c r="F27" s="119" t="s">
        <v>210</v>
      </c>
      <c r="G27" s="122" t="s">
        <v>261</v>
      </c>
      <c r="H27" s="121" t="s">
        <v>283</v>
      </c>
      <c r="I27" s="118" t="s">
        <v>222</v>
      </c>
      <c r="J27" s="122" t="s">
        <v>302</v>
      </c>
      <c r="K27" s="127" t="s">
        <v>221</v>
      </c>
    </row>
    <row r="28" spans="1:11" ht="15" x14ac:dyDescent="0.15">
      <c r="A28" s="104"/>
      <c r="B28" s="91" t="s">
        <v>185</v>
      </c>
      <c r="C28" s="90">
        <v>74</v>
      </c>
      <c r="D28" s="91" t="s">
        <v>41</v>
      </c>
      <c r="E28" s="118">
        <v>18</v>
      </c>
      <c r="F28" s="119" t="s">
        <v>200</v>
      </c>
      <c r="G28" s="120" t="s">
        <v>262</v>
      </c>
      <c r="H28" s="121" t="s">
        <v>284</v>
      </c>
      <c r="I28" s="118" t="s">
        <v>228</v>
      </c>
      <c r="J28" s="122" t="s">
        <v>322</v>
      </c>
      <c r="K28" s="127" t="s">
        <v>321</v>
      </c>
    </row>
    <row r="29" spans="1:11" ht="16" thickBot="1" x14ac:dyDescent="0.2">
      <c r="A29" s="105"/>
      <c r="B29" s="96" t="s">
        <v>329</v>
      </c>
      <c r="C29" s="95">
        <v>87</v>
      </c>
      <c r="D29" s="96" t="s">
        <v>42</v>
      </c>
      <c r="E29" s="123">
        <v>18</v>
      </c>
      <c r="F29" s="124" t="s">
        <v>220</v>
      </c>
      <c r="G29" s="125" t="s">
        <v>263</v>
      </c>
      <c r="H29" s="126" t="s">
        <v>285</v>
      </c>
      <c r="I29" s="123" t="s">
        <v>211</v>
      </c>
      <c r="J29" s="125" t="s">
        <v>303</v>
      </c>
      <c r="K29" s="137" t="s">
        <v>323</v>
      </c>
    </row>
    <row r="30" spans="1:11" ht="16" thickTop="1" x14ac:dyDescent="0.15">
      <c r="A30" s="104" t="s">
        <v>328</v>
      </c>
      <c r="B30" s="115"/>
      <c r="C30" s="88">
        <v>198</v>
      </c>
      <c r="D30" s="89" t="s">
        <v>59</v>
      </c>
      <c r="E30" s="115">
        <v>18</v>
      </c>
      <c r="F30" s="98"/>
      <c r="G30" s="115"/>
      <c r="H30" s="116"/>
      <c r="I30" s="115"/>
      <c r="J30" s="117"/>
      <c r="K30" s="116"/>
    </row>
    <row r="31" spans="1:11" ht="45" x14ac:dyDescent="0.15">
      <c r="A31" s="104"/>
      <c r="B31" s="91" t="s">
        <v>43</v>
      </c>
      <c r="C31" s="90">
        <v>15</v>
      </c>
      <c r="D31" s="91" t="s">
        <v>44</v>
      </c>
      <c r="E31" s="118">
        <v>8</v>
      </c>
      <c r="F31" s="119" t="s">
        <v>200</v>
      </c>
      <c r="G31" s="120" t="s">
        <v>264</v>
      </c>
      <c r="H31" s="121" t="s">
        <v>201</v>
      </c>
      <c r="I31" s="118" t="s">
        <v>202</v>
      </c>
      <c r="J31" s="120" t="s">
        <v>304</v>
      </c>
      <c r="K31" s="136" t="s">
        <v>324</v>
      </c>
    </row>
    <row r="32" spans="1:11" ht="30" x14ac:dyDescent="0.15">
      <c r="A32" s="104"/>
      <c r="B32" s="91" t="s">
        <v>45</v>
      </c>
      <c r="C32" s="90">
        <v>49</v>
      </c>
      <c r="D32" s="91" t="s">
        <v>46</v>
      </c>
      <c r="E32" s="118">
        <v>14</v>
      </c>
      <c r="F32" s="119" t="s">
        <v>210</v>
      </c>
      <c r="G32" s="120" t="s">
        <v>265</v>
      </c>
      <c r="H32" s="92" t="s">
        <v>286</v>
      </c>
      <c r="I32" s="118" t="s">
        <v>211</v>
      </c>
      <c r="J32" s="120" t="s">
        <v>305</v>
      </c>
      <c r="K32" s="136" t="s">
        <v>325</v>
      </c>
    </row>
    <row r="33" spans="1:11" ht="15" x14ac:dyDescent="0.15">
      <c r="A33" s="107"/>
      <c r="B33" s="91" t="s">
        <v>235</v>
      </c>
      <c r="C33" s="90">
        <v>70</v>
      </c>
      <c r="D33" s="91" t="s">
        <v>47</v>
      </c>
      <c r="E33" s="118">
        <v>15</v>
      </c>
      <c r="F33" s="119" t="s">
        <v>236</v>
      </c>
      <c r="G33" s="120" t="s">
        <v>266</v>
      </c>
      <c r="H33" s="121" t="s">
        <v>287</v>
      </c>
      <c r="I33" s="118" t="s">
        <v>228</v>
      </c>
      <c r="J33" s="120" t="s">
        <v>306</v>
      </c>
      <c r="K33" s="127" t="s">
        <v>326</v>
      </c>
    </row>
    <row r="34" spans="1:11" ht="15" x14ac:dyDescent="0.15">
      <c r="A34" s="107"/>
      <c r="B34" s="91" t="s">
        <v>48</v>
      </c>
      <c r="C34" s="90">
        <v>50</v>
      </c>
      <c r="D34" s="91" t="s">
        <v>49</v>
      </c>
      <c r="E34" s="118">
        <v>18</v>
      </c>
      <c r="F34" s="119" t="s">
        <v>210</v>
      </c>
      <c r="G34" s="122" t="s">
        <v>267</v>
      </c>
      <c r="H34" s="121" t="s">
        <v>288</v>
      </c>
      <c r="I34" s="118" t="s">
        <v>228</v>
      </c>
      <c r="J34" s="120" t="s">
        <v>291</v>
      </c>
      <c r="K34" s="127" t="s">
        <v>327</v>
      </c>
    </row>
    <row r="35" spans="1:11" ht="31" thickBot="1" x14ac:dyDescent="0.2">
      <c r="A35" s="108"/>
      <c r="B35" s="94" t="s">
        <v>50</v>
      </c>
      <c r="C35" s="93">
        <v>52</v>
      </c>
      <c r="D35" s="94" t="s">
        <v>51</v>
      </c>
      <c r="E35" s="133">
        <v>16</v>
      </c>
      <c r="F35" s="134" t="s">
        <v>210</v>
      </c>
      <c r="G35" s="135" t="s">
        <v>268</v>
      </c>
      <c r="H35" s="110" t="s">
        <v>289</v>
      </c>
      <c r="I35" s="133" t="s">
        <v>205</v>
      </c>
      <c r="J35" s="135" t="s">
        <v>290</v>
      </c>
      <c r="K35" s="139" t="s">
        <v>307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950FA-044E-C14B-AEE2-0CECF87517CE}">
  <dimension ref="A1:AJ23"/>
  <sheetViews>
    <sheetView topLeftCell="I1" zoomScale="75" workbookViewId="0">
      <selection activeCell="O3" sqref="O3"/>
    </sheetView>
  </sheetViews>
  <sheetFormatPr baseColWidth="10" defaultRowHeight="13" x14ac:dyDescent="0.15"/>
  <cols>
    <col min="1" max="1" width="5.6640625" bestFit="1" customWidth="1"/>
    <col min="2" max="2" width="6.5" bestFit="1" customWidth="1"/>
    <col min="4" max="4" width="10.5" bestFit="1" customWidth="1"/>
  </cols>
  <sheetData>
    <row r="1" spans="1:36" s="3" customFormat="1" ht="15" customHeight="1" thickBot="1" x14ac:dyDescent="0.2">
      <c r="A1" s="144" t="s">
        <v>66</v>
      </c>
      <c r="B1" s="146" t="s">
        <v>67</v>
      </c>
      <c r="C1" s="143" t="s">
        <v>7</v>
      </c>
      <c r="D1" s="141"/>
      <c r="E1" s="141"/>
      <c r="F1" s="141"/>
      <c r="G1" s="142"/>
      <c r="H1" s="143" t="s">
        <v>328</v>
      </c>
      <c r="I1" s="141"/>
      <c r="J1" s="141"/>
      <c r="K1" s="141"/>
      <c r="L1" s="141"/>
      <c r="M1" s="142"/>
      <c r="N1" s="143" t="s">
        <v>39</v>
      </c>
      <c r="O1" s="141"/>
      <c r="P1" s="141"/>
      <c r="Q1" s="142"/>
      <c r="R1" s="143" t="s">
        <v>24</v>
      </c>
      <c r="S1" s="141"/>
      <c r="T1" s="142"/>
      <c r="U1" s="141" t="s">
        <v>27</v>
      </c>
      <c r="V1" s="141"/>
      <c r="W1" s="141"/>
      <c r="X1" s="142"/>
      <c r="Y1" s="143" t="s">
        <v>15</v>
      </c>
      <c r="Z1" s="141"/>
      <c r="AA1" s="141"/>
      <c r="AB1" s="141"/>
      <c r="AC1" s="142"/>
      <c r="AD1" s="143" t="s">
        <v>1</v>
      </c>
      <c r="AE1" s="141"/>
      <c r="AF1" s="141"/>
      <c r="AG1" s="142"/>
      <c r="AH1" s="143" t="s">
        <v>34</v>
      </c>
      <c r="AI1" s="141"/>
      <c r="AJ1" s="142"/>
    </row>
    <row r="2" spans="1:36" s="3" customFormat="1" ht="45" x14ac:dyDescent="0.15">
      <c r="A2" s="145"/>
      <c r="B2" s="147"/>
      <c r="C2" s="62" t="s">
        <v>68</v>
      </c>
      <c r="D2" s="63" t="s">
        <v>69</v>
      </c>
      <c r="E2" s="63" t="s">
        <v>70</v>
      </c>
      <c r="F2" s="63" t="s">
        <v>71</v>
      </c>
      <c r="G2" s="70" t="s">
        <v>72</v>
      </c>
      <c r="H2" s="63" t="s">
        <v>187</v>
      </c>
      <c r="I2" s="63" t="s">
        <v>73</v>
      </c>
      <c r="J2" s="63" t="s">
        <v>74</v>
      </c>
      <c r="K2" s="63" t="s">
        <v>75</v>
      </c>
      <c r="L2" s="63" t="s">
        <v>76</v>
      </c>
      <c r="M2" s="70" t="s">
        <v>72</v>
      </c>
      <c r="N2" s="63" t="s">
        <v>331</v>
      </c>
      <c r="O2" s="63" t="s">
        <v>332</v>
      </c>
      <c r="P2" s="63" t="s">
        <v>77</v>
      </c>
      <c r="Q2" s="66" t="s">
        <v>72</v>
      </c>
      <c r="R2" s="63" t="s">
        <v>186</v>
      </c>
      <c r="S2" s="63" t="s">
        <v>78</v>
      </c>
      <c r="T2" s="70" t="s">
        <v>72</v>
      </c>
      <c r="U2" s="63" t="s">
        <v>79</v>
      </c>
      <c r="V2" s="63" t="s">
        <v>80</v>
      </c>
      <c r="W2" s="63" t="s">
        <v>81</v>
      </c>
      <c r="X2" s="66" t="s">
        <v>72</v>
      </c>
      <c r="Y2" s="63" t="s">
        <v>82</v>
      </c>
      <c r="Z2" s="63" t="s">
        <v>83</v>
      </c>
      <c r="AA2" s="63" t="s">
        <v>84</v>
      </c>
      <c r="AB2" s="63" t="s">
        <v>85</v>
      </c>
      <c r="AC2" s="66" t="s">
        <v>72</v>
      </c>
      <c r="AD2" s="63" t="s">
        <v>86</v>
      </c>
      <c r="AE2" s="63" t="s">
        <v>87</v>
      </c>
      <c r="AF2" s="63" t="s">
        <v>88</v>
      </c>
      <c r="AG2" s="66" t="s">
        <v>72</v>
      </c>
      <c r="AH2" s="63" t="s">
        <v>89</v>
      </c>
      <c r="AI2" s="63" t="s">
        <v>90</v>
      </c>
      <c r="AJ2" s="66" t="s">
        <v>72</v>
      </c>
    </row>
    <row r="3" spans="1:36" ht="14" x14ac:dyDescent="0.15">
      <c r="A3" s="64" t="s">
        <v>91</v>
      </c>
      <c r="B3" s="4">
        <v>3</v>
      </c>
      <c r="C3" s="64">
        <v>7</v>
      </c>
      <c r="D3" s="4">
        <v>1</v>
      </c>
      <c r="E3" s="4">
        <v>3</v>
      </c>
      <c r="F3" s="4">
        <v>1</v>
      </c>
      <c r="G3" s="67">
        <v>12</v>
      </c>
      <c r="H3" s="4">
        <v>0</v>
      </c>
      <c r="I3" s="4">
        <v>4</v>
      </c>
      <c r="J3" s="4">
        <v>2</v>
      </c>
      <c r="K3" s="4">
        <v>0</v>
      </c>
      <c r="L3" s="4">
        <v>0</v>
      </c>
      <c r="M3" s="67">
        <v>6</v>
      </c>
      <c r="N3" s="4">
        <v>9</v>
      </c>
      <c r="O3" s="4">
        <v>5</v>
      </c>
      <c r="P3" s="4">
        <v>1</v>
      </c>
      <c r="Q3" s="71">
        <v>14</v>
      </c>
      <c r="R3" s="4">
        <v>4</v>
      </c>
      <c r="S3" s="4">
        <v>3</v>
      </c>
      <c r="T3" s="67">
        <v>7</v>
      </c>
      <c r="U3" s="4">
        <v>2</v>
      </c>
      <c r="V3" s="4">
        <v>0</v>
      </c>
      <c r="W3" s="4">
        <v>1</v>
      </c>
      <c r="X3" s="67">
        <v>2</v>
      </c>
      <c r="Y3" s="4">
        <v>0</v>
      </c>
      <c r="Z3" s="4">
        <v>0</v>
      </c>
      <c r="AA3" s="4">
        <v>0</v>
      </c>
      <c r="AB3" s="4">
        <v>0</v>
      </c>
      <c r="AC3" s="67">
        <v>0</v>
      </c>
      <c r="AD3" s="4">
        <v>0</v>
      </c>
      <c r="AE3" s="4">
        <v>0</v>
      </c>
      <c r="AF3" s="4">
        <v>0</v>
      </c>
      <c r="AG3" s="67">
        <v>0</v>
      </c>
      <c r="AH3" s="4">
        <v>3</v>
      </c>
      <c r="AI3" s="4">
        <v>1</v>
      </c>
      <c r="AJ3" s="67">
        <v>3</v>
      </c>
    </row>
    <row r="4" spans="1:36" ht="14" x14ac:dyDescent="0.15">
      <c r="A4" s="64" t="s">
        <v>92</v>
      </c>
      <c r="B4" s="4">
        <v>3</v>
      </c>
      <c r="C4" s="64">
        <v>15</v>
      </c>
      <c r="D4" s="4">
        <v>3</v>
      </c>
      <c r="E4" s="4">
        <v>2</v>
      </c>
      <c r="F4" s="4">
        <v>0</v>
      </c>
      <c r="G4" s="67">
        <v>19</v>
      </c>
      <c r="H4" s="4">
        <v>0</v>
      </c>
      <c r="I4" s="4">
        <v>7</v>
      </c>
      <c r="J4" s="4">
        <v>1</v>
      </c>
      <c r="K4" s="4">
        <v>1</v>
      </c>
      <c r="L4" s="4">
        <v>0</v>
      </c>
      <c r="M4" s="67">
        <v>9</v>
      </c>
      <c r="N4" s="4">
        <v>9</v>
      </c>
      <c r="O4" s="4">
        <v>6</v>
      </c>
      <c r="P4" s="4">
        <v>3</v>
      </c>
      <c r="Q4" s="71">
        <v>16</v>
      </c>
      <c r="R4" s="4">
        <v>4</v>
      </c>
      <c r="S4" s="4">
        <v>3</v>
      </c>
      <c r="T4" s="67">
        <v>7</v>
      </c>
      <c r="U4" s="4">
        <v>5</v>
      </c>
      <c r="V4" s="4">
        <v>3</v>
      </c>
      <c r="W4" s="4">
        <v>5</v>
      </c>
      <c r="X4" s="67">
        <v>9</v>
      </c>
      <c r="Y4" s="4">
        <v>0</v>
      </c>
      <c r="Z4" s="4">
        <v>0</v>
      </c>
      <c r="AA4" s="4">
        <v>0</v>
      </c>
      <c r="AB4" s="4">
        <v>0</v>
      </c>
      <c r="AC4" s="67">
        <v>0</v>
      </c>
      <c r="AD4" s="4">
        <v>1</v>
      </c>
      <c r="AE4" s="4">
        <v>0</v>
      </c>
      <c r="AF4" s="4">
        <v>0</v>
      </c>
      <c r="AG4" s="67">
        <v>1</v>
      </c>
      <c r="AH4" s="4">
        <v>4</v>
      </c>
      <c r="AI4" s="4">
        <v>1</v>
      </c>
      <c r="AJ4" s="67">
        <v>4</v>
      </c>
    </row>
    <row r="5" spans="1:36" ht="14" x14ac:dyDescent="0.15">
      <c r="A5" s="64" t="s">
        <v>93</v>
      </c>
      <c r="B5" s="4">
        <v>3</v>
      </c>
      <c r="C5" s="64">
        <v>9</v>
      </c>
      <c r="D5" s="4">
        <v>2</v>
      </c>
      <c r="E5" s="4">
        <v>3</v>
      </c>
      <c r="F5" s="4">
        <v>1</v>
      </c>
      <c r="G5" s="67">
        <v>14</v>
      </c>
      <c r="H5" s="4">
        <v>0</v>
      </c>
      <c r="I5" s="4">
        <v>1</v>
      </c>
      <c r="J5" s="4">
        <v>1</v>
      </c>
      <c r="K5" s="4">
        <v>1</v>
      </c>
      <c r="L5" s="4">
        <v>0</v>
      </c>
      <c r="M5" s="67">
        <v>3</v>
      </c>
      <c r="N5" s="4">
        <v>2</v>
      </c>
      <c r="O5" s="4">
        <v>4</v>
      </c>
      <c r="P5" s="4">
        <v>1</v>
      </c>
      <c r="Q5" s="71">
        <v>7</v>
      </c>
      <c r="R5" s="4">
        <v>9</v>
      </c>
      <c r="S5" s="4">
        <v>2</v>
      </c>
      <c r="T5" s="67">
        <v>11</v>
      </c>
      <c r="U5" s="4">
        <v>5</v>
      </c>
      <c r="V5" s="4">
        <v>1</v>
      </c>
      <c r="W5" s="4">
        <v>0</v>
      </c>
      <c r="X5" s="67">
        <v>6</v>
      </c>
      <c r="Y5" s="4">
        <v>2</v>
      </c>
      <c r="Z5" s="4">
        <v>0</v>
      </c>
      <c r="AA5" s="4">
        <v>0</v>
      </c>
      <c r="AB5" s="4">
        <v>2</v>
      </c>
      <c r="AC5" s="67">
        <v>4</v>
      </c>
      <c r="AD5" s="4">
        <v>0</v>
      </c>
      <c r="AE5" s="4">
        <v>1</v>
      </c>
      <c r="AF5" s="4">
        <v>0</v>
      </c>
      <c r="AG5" s="67">
        <v>1</v>
      </c>
      <c r="AH5" s="4">
        <v>2</v>
      </c>
      <c r="AI5" s="4">
        <v>2</v>
      </c>
      <c r="AJ5" s="67">
        <v>4</v>
      </c>
    </row>
    <row r="6" spans="1:36" ht="14" x14ac:dyDescent="0.15">
      <c r="A6" s="64" t="s">
        <v>94</v>
      </c>
      <c r="B6" s="4">
        <v>3</v>
      </c>
      <c r="C6" s="64">
        <v>5</v>
      </c>
      <c r="D6" s="4">
        <v>3</v>
      </c>
      <c r="E6" s="4">
        <v>5</v>
      </c>
      <c r="F6" s="4">
        <v>2</v>
      </c>
      <c r="G6" s="67">
        <v>13</v>
      </c>
      <c r="H6" s="4">
        <v>2</v>
      </c>
      <c r="I6" s="4">
        <v>5</v>
      </c>
      <c r="J6" s="4">
        <v>5</v>
      </c>
      <c r="K6" s="4">
        <v>2</v>
      </c>
      <c r="L6" s="4">
        <v>2</v>
      </c>
      <c r="M6" s="67">
        <v>15</v>
      </c>
      <c r="N6" s="4">
        <v>4</v>
      </c>
      <c r="O6" s="4">
        <v>6</v>
      </c>
      <c r="P6" s="4">
        <v>4</v>
      </c>
      <c r="Q6" s="71">
        <v>13</v>
      </c>
      <c r="R6" s="4">
        <v>4</v>
      </c>
      <c r="S6" s="4">
        <v>1</v>
      </c>
      <c r="T6" s="67">
        <v>5</v>
      </c>
      <c r="U6" s="4">
        <v>6</v>
      </c>
      <c r="V6" s="4">
        <v>6</v>
      </c>
      <c r="W6" s="4">
        <v>1</v>
      </c>
      <c r="X6" s="67">
        <v>11</v>
      </c>
      <c r="Y6" s="4">
        <v>0</v>
      </c>
      <c r="Z6" s="4">
        <v>1</v>
      </c>
      <c r="AA6" s="4">
        <v>3</v>
      </c>
      <c r="AB6" s="4">
        <v>0</v>
      </c>
      <c r="AC6" s="67">
        <v>4</v>
      </c>
      <c r="AD6" s="4">
        <v>2</v>
      </c>
      <c r="AE6" s="4">
        <v>0</v>
      </c>
      <c r="AF6" s="4">
        <v>0</v>
      </c>
      <c r="AG6" s="67">
        <v>2</v>
      </c>
      <c r="AH6" s="4">
        <v>0</v>
      </c>
      <c r="AI6" s="4">
        <v>1</v>
      </c>
      <c r="AJ6" s="67">
        <v>1</v>
      </c>
    </row>
    <row r="7" spans="1:36" ht="14" x14ac:dyDescent="0.15">
      <c r="A7" s="64" t="s">
        <v>95</v>
      </c>
      <c r="B7" s="4">
        <v>3</v>
      </c>
      <c r="C7" s="64">
        <v>6</v>
      </c>
      <c r="D7" s="4">
        <v>3</v>
      </c>
      <c r="E7" s="4">
        <v>2</v>
      </c>
      <c r="F7" s="4">
        <v>0</v>
      </c>
      <c r="G7" s="67">
        <v>11</v>
      </c>
      <c r="H7" s="4">
        <v>1</v>
      </c>
      <c r="I7" s="4">
        <v>2</v>
      </c>
      <c r="J7" s="4">
        <v>1</v>
      </c>
      <c r="K7" s="4">
        <v>1</v>
      </c>
      <c r="L7" s="4">
        <v>0</v>
      </c>
      <c r="M7" s="67">
        <v>5</v>
      </c>
      <c r="N7" s="4">
        <v>9</v>
      </c>
      <c r="O7" s="4">
        <v>3</v>
      </c>
      <c r="P7" s="4">
        <v>4</v>
      </c>
      <c r="Q7" s="71">
        <v>15</v>
      </c>
      <c r="R7" s="4">
        <v>3</v>
      </c>
      <c r="S7" s="4">
        <v>1</v>
      </c>
      <c r="T7" s="67">
        <v>4</v>
      </c>
      <c r="U7" s="4">
        <v>1</v>
      </c>
      <c r="V7" s="4">
        <v>0</v>
      </c>
      <c r="W7" s="4">
        <v>0</v>
      </c>
      <c r="X7" s="67">
        <v>1</v>
      </c>
      <c r="Y7" s="4">
        <v>2</v>
      </c>
      <c r="Z7" s="4">
        <v>2</v>
      </c>
      <c r="AA7" s="4">
        <v>1</v>
      </c>
      <c r="AB7" s="4">
        <v>2</v>
      </c>
      <c r="AC7" s="67">
        <v>7</v>
      </c>
      <c r="AD7" s="4">
        <v>0</v>
      </c>
      <c r="AE7" s="4">
        <v>0</v>
      </c>
      <c r="AF7" s="4">
        <v>0</v>
      </c>
      <c r="AG7" s="67">
        <v>0</v>
      </c>
      <c r="AH7" s="4">
        <v>2</v>
      </c>
      <c r="AI7" s="4">
        <v>1</v>
      </c>
      <c r="AJ7" s="67">
        <v>3</v>
      </c>
    </row>
    <row r="8" spans="1:36" ht="14" x14ac:dyDescent="0.15">
      <c r="A8" s="64" t="s">
        <v>96</v>
      </c>
      <c r="B8" s="4">
        <v>3</v>
      </c>
      <c r="C8" s="64">
        <v>4</v>
      </c>
      <c r="D8" s="4">
        <v>0</v>
      </c>
      <c r="E8" s="4">
        <v>2</v>
      </c>
      <c r="F8" s="4">
        <v>2</v>
      </c>
      <c r="G8" s="67">
        <v>7</v>
      </c>
      <c r="H8" s="4">
        <v>3</v>
      </c>
      <c r="I8" s="4">
        <v>3</v>
      </c>
      <c r="J8" s="4">
        <v>1</v>
      </c>
      <c r="K8" s="4">
        <v>3</v>
      </c>
      <c r="L8" s="4">
        <v>1</v>
      </c>
      <c r="M8" s="67">
        <v>10</v>
      </c>
      <c r="N8" s="4">
        <v>2</v>
      </c>
      <c r="O8" s="4">
        <v>4</v>
      </c>
      <c r="P8" s="4">
        <v>0</v>
      </c>
      <c r="Q8" s="71">
        <v>5</v>
      </c>
      <c r="R8" s="4">
        <v>5</v>
      </c>
      <c r="S8" s="4">
        <v>1</v>
      </c>
      <c r="T8" s="67">
        <v>6</v>
      </c>
      <c r="U8" s="4">
        <v>6</v>
      </c>
      <c r="V8" s="4">
        <v>3</v>
      </c>
      <c r="W8" s="4">
        <v>3</v>
      </c>
      <c r="X8" s="67">
        <v>8</v>
      </c>
      <c r="Y8" s="4">
        <v>2</v>
      </c>
      <c r="Z8" s="4">
        <v>2</v>
      </c>
      <c r="AA8" s="4">
        <v>0</v>
      </c>
      <c r="AB8" s="4">
        <v>1</v>
      </c>
      <c r="AC8" s="67">
        <v>5</v>
      </c>
      <c r="AD8" s="4">
        <v>2</v>
      </c>
      <c r="AE8" s="4">
        <v>0</v>
      </c>
      <c r="AF8" s="4">
        <v>1</v>
      </c>
      <c r="AG8" s="67">
        <v>3</v>
      </c>
      <c r="AH8" s="4">
        <v>2</v>
      </c>
      <c r="AI8" s="4">
        <v>3</v>
      </c>
      <c r="AJ8" s="67">
        <v>4</v>
      </c>
    </row>
    <row r="9" spans="1:36" ht="14" x14ac:dyDescent="0.15">
      <c r="A9" s="64" t="s">
        <v>97</v>
      </c>
      <c r="B9" s="4">
        <v>3</v>
      </c>
      <c r="C9" s="64">
        <v>5</v>
      </c>
      <c r="D9" s="4">
        <v>0</v>
      </c>
      <c r="E9" s="4">
        <v>1</v>
      </c>
      <c r="F9" s="4">
        <v>0</v>
      </c>
      <c r="G9" s="67">
        <v>6</v>
      </c>
      <c r="H9" s="4">
        <v>1</v>
      </c>
      <c r="I9" s="4">
        <v>3</v>
      </c>
      <c r="J9" s="4">
        <v>2</v>
      </c>
      <c r="K9" s="4">
        <v>1</v>
      </c>
      <c r="L9" s="4">
        <v>1</v>
      </c>
      <c r="M9" s="67">
        <v>7</v>
      </c>
      <c r="N9" s="4">
        <v>4</v>
      </c>
      <c r="O9" s="4">
        <v>3</v>
      </c>
      <c r="P9" s="4">
        <v>0</v>
      </c>
      <c r="Q9" s="71">
        <v>7</v>
      </c>
      <c r="R9" s="4">
        <v>3</v>
      </c>
      <c r="S9" s="4">
        <v>3</v>
      </c>
      <c r="T9" s="67">
        <v>6</v>
      </c>
      <c r="U9" s="4">
        <v>0</v>
      </c>
      <c r="V9" s="4">
        <v>1</v>
      </c>
      <c r="W9" s="4">
        <v>0</v>
      </c>
      <c r="X9" s="67">
        <v>1</v>
      </c>
      <c r="Y9" s="4">
        <v>0</v>
      </c>
      <c r="Z9" s="4">
        <v>1</v>
      </c>
      <c r="AA9" s="4">
        <v>0</v>
      </c>
      <c r="AB9" s="4">
        <v>1</v>
      </c>
      <c r="AC9" s="67">
        <v>2</v>
      </c>
      <c r="AD9" s="4">
        <v>0</v>
      </c>
      <c r="AE9" s="4">
        <v>0</v>
      </c>
      <c r="AF9" s="4">
        <v>0</v>
      </c>
      <c r="AG9" s="67">
        <v>0</v>
      </c>
      <c r="AH9" s="4">
        <v>1</v>
      </c>
      <c r="AI9" s="4">
        <v>3</v>
      </c>
      <c r="AJ9" s="67">
        <v>4</v>
      </c>
    </row>
    <row r="10" spans="1:36" ht="14" x14ac:dyDescent="0.15">
      <c r="A10" s="64" t="s">
        <v>98</v>
      </c>
      <c r="B10" s="4">
        <v>3</v>
      </c>
      <c r="C10" s="64">
        <v>3</v>
      </c>
      <c r="D10" s="4">
        <v>2</v>
      </c>
      <c r="E10" s="4">
        <v>4</v>
      </c>
      <c r="F10" s="4">
        <v>1</v>
      </c>
      <c r="G10" s="67">
        <v>9</v>
      </c>
      <c r="H10" s="4">
        <v>5</v>
      </c>
      <c r="I10" s="4">
        <v>4</v>
      </c>
      <c r="J10" s="4">
        <v>2</v>
      </c>
      <c r="K10" s="4">
        <v>0</v>
      </c>
      <c r="L10" s="4">
        <v>1</v>
      </c>
      <c r="M10" s="67">
        <v>11</v>
      </c>
      <c r="N10" s="4">
        <v>5</v>
      </c>
      <c r="O10" s="4">
        <v>4</v>
      </c>
      <c r="P10" s="4">
        <v>0</v>
      </c>
      <c r="Q10" s="71">
        <v>8</v>
      </c>
      <c r="R10" s="4">
        <v>6</v>
      </c>
      <c r="S10" s="4">
        <v>3</v>
      </c>
      <c r="T10" s="67">
        <v>8</v>
      </c>
      <c r="U10" s="4">
        <v>9</v>
      </c>
      <c r="V10" s="4">
        <v>9</v>
      </c>
      <c r="W10" s="4">
        <v>2</v>
      </c>
      <c r="X10" s="67">
        <v>13</v>
      </c>
      <c r="Y10" s="4">
        <v>0</v>
      </c>
      <c r="Z10" s="4">
        <v>2</v>
      </c>
      <c r="AA10" s="4">
        <v>0</v>
      </c>
      <c r="AB10" s="4">
        <v>4</v>
      </c>
      <c r="AC10" s="67">
        <v>4</v>
      </c>
      <c r="AD10" s="4">
        <v>1</v>
      </c>
      <c r="AE10" s="4">
        <v>1</v>
      </c>
      <c r="AF10" s="4">
        <v>0</v>
      </c>
      <c r="AG10" s="67">
        <v>2</v>
      </c>
      <c r="AH10" s="4">
        <v>1</v>
      </c>
      <c r="AI10" s="4">
        <v>2</v>
      </c>
      <c r="AJ10" s="67">
        <v>3</v>
      </c>
    </row>
    <row r="11" spans="1:36" ht="14" x14ac:dyDescent="0.15">
      <c r="A11" s="64" t="s">
        <v>99</v>
      </c>
      <c r="B11" s="4">
        <v>4</v>
      </c>
      <c r="C11" s="64">
        <v>7</v>
      </c>
      <c r="D11" s="4">
        <v>9</v>
      </c>
      <c r="E11" s="4">
        <v>6</v>
      </c>
      <c r="F11" s="4">
        <v>1</v>
      </c>
      <c r="G11" s="67">
        <v>20</v>
      </c>
      <c r="H11" s="4">
        <v>9</v>
      </c>
      <c r="I11" s="4">
        <v>3</v>
      </c>
      <c r="J11" s="4">
        <v>5</v>
      </c>
      <c r="K11" s="4">
        <v>15</v>
      </c>
      <c r="L11" s="4">
        <v>5</v>
      </c>
      <c r="M11" s="67">
        <v>31</v>
      </c>
      <c r="N11" s="4">
        <v>5</v>
      </c>
      <c r="O11" s="4">
        <v>4</v>
      </c>
      <c r="P11" s="4">
        <v>1</v>
      </c>
      <c r="Q11" s="71">
        <v>9</v>
      </c>
      <c r="R11" s="4">
        <v>11</v>
      </c>
      <c r="S11" s="4">
        <v>1</v>
      </c>
      <c r="T11" s="67">
        <v>12</v>
      </c>
      <c r="U11" s="4">
        <v>5</v>
      </c>
      <c r="V11" s="4">
        <v>8</v>
      </c>
      <c r="W11" s="4">
        <v>4</v>
      </c>
      <c r="X11" s="67">
        <v>13</v>
      </c>
      <c r="Y11" s="4">
        <v>1</v>
      </c>
      <c r="Z11" s="4">
        <v>1</v>
      </c>
      <c r="AA11" s="4">
        <v>2</v>
      </c>
      <c r="AB11" s="4">
        <v>1</v>
      </c>
      <c r="AC11" s="67">
        <v>5</v>
      </c>
      <c r="AD11" s="4">
        <v>3</v>
      </c>
      <c r="AE11" s="4">
        <v>1</v>
      </c>
      <c r="AF11" s="4">
        <v>0</v>
      </c>
      <c r="AG11" s="67">
        <v>4</v>
      </c>
      <c r="AH11" s="4">
        <v>3</v>
      </c>
      <c r="AI11" s="4">
        <v>0</v>
      </c>
      <c r="AJ11" s="67">
        <v>3</v>
      </c>
    </row>
    <row r="12" spans="1:36" ht="14" x14ac:dyDescent="0.15">
      <c r="A12" s="64" t="s">
        <v>100</v>
      </c>
      <c r="B12" s="4">
        <v>4</v>
      </c>
      <c r="C12" s="64">
        <v>10</v>
      </c>
      <c r="D12" s="4">
        <v>7</v>
      </c>
      <c r="E12" s="4">
        <v>7</v>
      </c>
      <c r="F12" s="4">
        <v>0</v>
      </c>
      <c r="G12" s="67">
        <v>21</v>
      </c>
      <c r="H12" s="4">
        <v>11</v>
      </c>
      <c r="I12" s="4">
        <v>1</v>
      </c>
      <c r="J12" s="4">
        <v>9</v>
      </c>
      <c r="K12" s="4">
        <v>7</v>
      </c>
      <c r="L12" s="4">
        <v>3</v>
      </c>
      <c r="M12" s="67">
        <v>21</v>
      </c>
      <c r="N12" s="4">
        <v>6</v>
      </c>
      <c r="O12" s="4">
        <v>4</v>
      </c>
      <c r="P12" s="4">
        <v>0</v>
      </c>
      <c r="Q12" s="71">
        <v>10</v>
      </c>
      <c r="R12" s="4">
        <v>8</v>
      </c>
      <c r="S12" s="4">
        <v>3</v>
      </c>
      <c r="T12" s="67">
        <v>11</v>
      </c>
      <c r="U12" s="4">
        <v>7</v>
      </c>
      <c r="V12" s="4">
        <v>7</v>
      </c>
      <c r="W12" s="4">
        <v>1</v>
      </c>
      <c r="X12" s="67">
        <v>12</v>
      </c>
      <c r="Y12" s="4">
        <v>2</v>
      </c>
      <c r="Z12" s="4">
        <v>1</v>
      </c>
      <c r="AA12" s="4">
        <v>2</v>
      </c>
      <c r="AB12" s="4">
        <v>0</v>
      </c>
      <c r="AC12" s="67">
        <v>5</v>
      </c>
      <c r="AD12" s="4">
        <v>1</v>
      </c>
      <c r="AE12" s="4">
        <v>4</v>
      </c>
      <c r="AF12" s="4">
        <v>1</v>
      </c>
      <c r="AG12" s="67">
        <v>5</v>
      </c>
      <c r="AH12" s="4">
        <v>4</v>
      </c>
      <c r="AI12" s="4">
        <v>4</v>
      </c>
      <c r="AJ12" s="67">
        <v>7</v>
      </c>
    </row>
    <row r="13" spans="1:36" ht="14" x14ac:dyDescent="0.15">
      <c r="A13" s="64" t="s">
        <v>101</v>
      </c>
      <c r="B13" s="4">
        <v>4</v>
      </c>
      <c r="C13" s="64">
        <v>3</v>
      </c>
      <c r="D13" s="4">
        <v>1</v>
      </c>
      <c r="E13" s="4">
        <v>4</v>
      </c>
      <c r="F13" s="4">
        <v>1</v>
      </c>
      <c r="G13" s="67">
        <v>8</v>
      </c>
      <c r="H13" s="4">
        <v>7</v>
      </c>
      <c r="I13" s="4">
        <v>0</v>
      </c>
      <c r="J13" s="4">
        <v>4</v>
      </c>
      <c r="K13" s="4">
        <v>0</v>
      </c>
      <c r="L13" s="4">
        <v>0</v>
      </c>
      <c r="M13" s="67">
        <v>11</v>
      </c>
      <c r="N13" s="4">
        <v>3</v>
      </c>
      <c r="O13" s="4">
        <v>4</v>
      </c>
      <c r="P13" s="4">
        <v>3</v>
      </c>
      <c r="Q13" s="71">
        <v>9</v>
      </c>
      <c r="R13" s="4">
        <v>8</v>
      </c>
      <c r="S13" s="4">
        <v>1</v>
      </c>
      <c r="T13" s="67">
        <v>9</v>
      </c>
      <c r="U13" s="4">
        <v>4</v>
      </c>
      <c r="V13" s="4">
        <v>5</v>
      </c>
      <c r="W13" s="4">
        <v>1</v>
      </c>
      <c r="X13" s="67">
        <v>6</v>
      </c>
      <c r="Y13" s="4">
        <v>4</v>
      </c>
      <c r="Z13" s="4">
        <v>3</v>
      </c>
      <c r="AA13" s="4">
        <v>1</v>
      </c>
      <c r="AB13" s="4">
        <v>0</v>
      </c>
      <c r="AC13" s="67">
        <v>8</v>
      </c>
      <c r="AD13" s="4">
        <v>3</v>
      </c>
      <c r="AE13" s="4">
        <v>5</v>
      </c>
      <c r="AF13" s="4">
        <v>0</v>
      </c>
      <c r="AG13" s="67">
        <v>5</v>
      </c>
      <c r="AH13" s="4">
        <v>1</v>
      </c>
      <c r="AI13" s="4">
        <v>0</v>
      </c>
      <c r="AJ13" s="67">
        <v>1</v>
      </c>
    </row>
    <row r="14" spans="1:36" ht="14" x14ac:dyDescent="0.15">
      <c r="A14" s="64" t="s">
        <v>102</v>
      </c>
      <c r="B14" s="4">
        <v>4</v>
      </c>
      <c r="C14" s="64">
        <v>8</v>
      </c>
      <c r="D14" s="4">
        <v>4</v>
      </c>
      <c r="E14" s="4">
        <v>3</v>
      </c>
      <c r="F14" s="4">
        <v>0</v>
      </c>
      <c r="G14" s="67">
        <v>14</v>
      </c>
      <c r="H14" s="4">
        <v>7</v>
      </c>
      <c r="I14" s="4">
        <v>2</v>
      </c>
      <c r="J14" s="4">
        <v>5</v>
      </c>
      <c r="K14" s="4">
        <v>5</v>
      </c>
      <c r="L14" s="4">
        <v>1</v>
      </c>
      <c r="M14" s="67">
        <v>15</v>
      </c>
      <c r="N14" s="4">
        <v>4</v>
      </c>
      <c r="O14" s="4">
        <v>3</v>
      </c>
      <c r="P14" s="4">
        <v>2</v>
      </c>
      <c r="Q14" s="71">
        <v>9</v>
      </c>
      <c r="R14" s="4">
        <v>3</v>
      </c>
      <c r="S14" s="4">
        <v>0</v>
      </c>
      <c r="T14" s="67">
        <v>3</v>
      </c>
      <c r="U14" s="4">
        <v>8</v>
      </c>
      <c r="V14" s="4">
        <v>3</v>
      </c>
      <c r="W14" s="4">
        <v>1</v>
      </c>
      <c r="X14" s="67">
        <v>8</v>
      </c>
      <c r="Y14" s="4">
        <v>3</v>
      </c>
      <c r="Z14" s="4">
        <v>1</v>
      </c>
      <c r="AA14" s="4">
        <v>2</v>
      </c>
      <c r="AB14" s="4">
        <v>2</v>
      </c>
      <c r="AC14" s="67">
        <v>7</v>
      </c>
      <c r="AD14" s="4">
        <v>4</v>
      </c>
      <c r="AE14" s="4">
        <v>3</v>
      </c>
      <c r="AF14" s="4">
        <v>0</v>
      </c>
      <c r="AG14" s="67">
        <v>6</v>
      </c>
      <c r="AH14" s="4">
        <v>2</v>
      </c>
      <c r="AI14" s="4">
        <v>0</v>
      </c>
      <c r="AJ14" s="67">
        <v>2</v>
      </c>
    </row>
    <row r="15" spans="1:36" ht="14" x14ac:dyDescent="0.15">
      <c r="A15" s="64" t="s">
        <v>103</v>
      </c>
      <c r="B15" s="4">
        <v>4</v>
      </c>
      <c r="C15" s="64">
        <v>3</v>
      </c>
      <c r="D15" s="4">
        <v>1</v>
      </c>
      <c r="E15" s="4">
        <v>1</v>
      </c>
      <c r="F15" s="4">
        <v>0</v>
      </c>
      <c r="G15" s="67">
        <v>5</v>
      </c>
      <c r="H15" s="4">
        <v>4</v>
      </c>
      <c r="I15" s="4">
        <v>3</v>
      </c>
      <c r="J15" s="4">
        <v>3</v>
      </c>
      <c r="K15" s="4">
        <v>2</v>
      </c>
      <c r="L15" s="4">
        <v>0</v>
      </c>
      <c r="M15" s="67">
        <v>8</v>
      </c>
      <c r="N15" s="4">
        <v>5</v>
      </c>
      <c r="O15" s="4">
        <v>3</v>
      </c>
      <c r="P15" s="4">
        <v>1</v>
      </c>
      <c r="Q15" s="71">
        <v>9</v>
      </c>
      <c r="R15" s="4">
        <v>6</v>
      </c>
      <c r="S15" s="4">
        <v>0</v>
      </c>
      <c r="T15" s="67">
        <v>6</v>
      </c>
      <c r="U15" s="4">
        <v>1</v>
      </c>
      <c r="V15" s="4">
        <v>1</v>
      </c>
      <c r="W15" s="4">
        <v>0</v>
      </c>
      <c r="X15" s="67">
        <v>2</v>
      </c>
      <c r="Y15" s="4">
        <v>3</v>
      </c>
      <c r="Z15" s="4">
        <v>3</v>
      </c>
      <c r="AA15" s="4">
        <v>0</v>
      </c>
      <c r="AB15" s="4">
        <v>0</v>
      </c>
      <c r="AC15" s="67">
        <v>6</v>
      </c>
      <c r="AD15" s="4">
        <v>1</v>
      </c>
      <c r="AE15" s="4">
        <v>3</v>
      </c>
      <c r="AF15" s="4">
        <v>0</v>
      </c>
      <c r="AG15" s="67">
        <v>4</v>
      </c>
      <c r="AH15" s="4">
        <v>1</v>
      </c>
      <c r="AI15" s="4">
        <v>1</v>
      </c>
      <c r="AJ15" s="67">
        <v>2</v>
      </c>
    </row>
    <row r="16" spans="1:36" ht="14" x14ac:dyDescent="0.15">
      <c r="A16" s="64" t="s">
        <v>104</v>
      </c>
      <c r="B16" s="4">
        <v>4</v>
      </c>
      <c r="C16" s="64">
        <v>6</v>
      </c>
      <c r="D16" s="4">
        <v>3</v>
      </c>
      <c r="E16" s="4">
        <v>1</v>
      </c>
      <c r="F16" s="4">
        <v>0</v>
      </c>
      <c r="G16" s="67">
        <v>9</v>
      </c>
      <c r="H16" s="4">
        <v>4</v>
      </c>
      <c r="I16" s="4">
        <v>1</v>
      </c>
      <c r="J16" s="4">
        <v>1</v>
      </c>
      <c r="K16" s="4">
        <v>3</v>
      </c>
      <c r="L16" s="4">
        <v>0</v>
      </c>
      <c r="M16" s="67">
        <v>7</v>
      </c>
      <c r="N16" s="4">
        <v>4</v>
      </c>
      <c r="O16" s="4">
        <v>6</v>
      </c>
      <c r="P16" s="4">
        <v>1</v>
      </c>
      <c r="Q16" s="71">
        <v>11</v>
      </c>
      <c r="R16" s="4">
        <v>5</v>
      </c>
      <c r="S16" s="4">
        <v>0</v>
      </c>
      <c r="T16" s="67">
        <v>5</v>
      </c>
      <c r="U16" s="4">
        <v>2</v>
      </c>
      <c r="V16" s="4">
        <v>2</v>
      </c>
      <c r="W16" s="4">
        <v>0</v>
      </c>
      <c r="X16" s="67">
        <v>4</v>
      </c>
      <c r="Y16" s="4">
        <v>2</v>
      </c>
      <c r="Z16" s="4">
        <v>2</v>
      </c>
      <c r="AA16" s="4">
        <v>1</v>
      </c>
      <c r="AB16" s="4">
        <v>1</v>
      </c>
      <c r="AC16" s="67">
        <v>5</v>
      </c>
      <c r="AD16" s="4">
        <v>1</v>
      </c>
      <c r="AE16" s="4">
        <v>2</v>
      </c>
      <c r="AF16" s="4">
        <v>3</v>
      </c>
      <c r="AG16" s="67">
        <v>6</v>
      </c>
      <c r="AH16" s="4">
        <v>3</v>
      </c>
      <c r="AI16" s="4">
        <v>1</v>
      </c>
      <c r="AJ16" s="67">
        <v>4</v>
      </c>
    </row>
    <row r="17" spans="1:36" ht="14" x14ac:dyDescent="0.15">
      <c r="A17" s="64" t="s">
        <v>105</v>
      </c>
      <c r="B17" s="4">
        <v>4</v>
      </c>
      <c r="C17" s="64">
        <v>6</v>
      </c>
      <c r="D17" s="4">
        <v>1</v>
      </c>
      <c r="E17" s="4">
        <v>3</v>
      </c>
      <c r="F17" s="4">
        <v>3</v>
      </c>
      <c r="G17" s="67">
        <v>13</v>
      </c>
      <c r="H17" s="4">
        <v>2</v>
      </c>
      <c r="I17" s="4">
        <v>2</v>
      </c>
      <c r="J17" s="4">
        <v>2</v>
      </c>
      <c r="K17" s="4">
        <v>0</v>
      </c>
      <c r="L17" s="4">
        <v>0</v>
      </c>
      <c r="M17" s="67">
        <v>6</v>
      </c>
      <c r="N17" s="4">
        <v>6</v>
      </c>
      <c r="O17" s="4">
        <v>4</v>
      </c>
      <c r="P17" s="4">
        <v>1</v>
      </c>
      <c r="Q17" s="71">
        <v>11</v>
      </c>
      <c r="R17" s="4">
        <v>10</v>
      </c>
      <c r="S17" s="4">
        <v>1</v>
      </c>
      <c r="T17" s="67">
        <v>10</v>
      </c>
      <c r="U17" s="4">
        <v>1</v>
      </c>
      <c r="V17" s="4">
        <v>2</v>
      </c>
      <c r="W17" s="4">
        <v>0</v>
      </c>
      <c r="X17" s="67">
        <v>3</v>
      </c>
      <c r="Y17" s="4">
        <v>2</v>
      </c>
      <c r="Z17" s="4">
        <v>4</v>
      </c>
      <c r="AA17" s="4">
        <v>3</v>
      </c>
      <c r="AB17" s="4">
        <v>2</v>
      </c>
      <c r="AC17" s="67">
        <v>11</v>
      </c>
      <c r="AD17" s="4">
        <v>7</v>
      </c>
      <c r="AE17" s="4">
        <v>3</v>
      </c>
      <c r="AF17" s="4">
        <v>4</v>
      </c>
      <c r="AG17" s="67">
        <v>11</v>
      </c>
      <c r="AH17" s="4">
        <v>0</v>
      </c>
      <c r="AI17" s="4">
        <v>3</v>
      </c>
      <c r="AJ17" s="67">
        <v>3</v>
      </c>
    </row>
    <row r="18" spans="1:36" ht="14" x14ac:dyDescent="0.15">
      <c r="A18" s="64" t="s">
        <v>106</v>
      </c>
      <c r="B18" s="4">
        <v>4</v>
      </c>
      <c r="C18" s="64">
        <v>3</v>
      </c>
      <c r="D18" s="4">
        <v>4</v>
      </c>
      <c r="E18" s="4">
        <v>4</v>
      </c>
      <c r="F18" s="4">
        <v>1</v>
      </c>
      <c r="G18" s="67">
        <v>12</v>
      </c>
      <c r="H18" s="4">
        <v>4</v>
      </c>
      <c r="I18" s="4">
        <v>0</v>
      </c>
      <c r="J18" s="4">
        <v>2</v>
      </c>
      <c r="K18" s="4">
        <v>2</v>
      </c>
      <c r="L18" s="4">
        <v>0</v>
      </c>
      <c r="M18" s="67">
        <v>7</v>
      </c>
      <c r="N18" s="4">
        <v>5</v>
      </c>
      <c r="O18" s="4">
        <v>3</v>
      </c>
      <c r="P18" s="4">
        <v>3</v>
      </c>
      <c r="Q18" s="71">
        <v>11</v>
      </c>
      <c r="R18" s="4">
        <v>7</v>
      </c>
      <c r="S18" s="4">
        <v>1</v>
      </c>
      <c r="T18" s="67">
        <v>7</v>
      </c>
      <c r="U18" s="4">
        <v>5</v>
      </c>
      <c r="V18" s="4">
        <v>0</v>
      </c>
      <c r="W18" s="4">
        <v>0</v>
      </c>
      <c r="X18" s="67">
        <v>5</v>
      </c>
      <c r="Y18" s="4">
        <v>1</v>
      </c>
      <c r="Z18" s="4">
        <v>0</v>
      </c>
      <c r="AA18" s="4">
        <v>1</v>
      </c>
      <c r="AB18" s="4">
        <v>1</v>
      </c>
      <c r="AC18" s="67">
        <v>3</v>
      </c>
      <c r="AD18" s="4">
        <v>1</v>
      </c>
      <c r="AE18" s="4">
        <v>1</v>
      </c>
      <c r="AF18" s="4">
        <v>0</v>
      </c>
      <c r="AG18" s="67">
        <v>2</v>
      </c>
      <c r="AH18" s="4">
        <v>1</v>
      </c>
      <c r="AI18" s="4">
        <v>2</v>
      </c>
      <c r="AJ18" s="67">
        <v>3</v>
      </c>
    </row>
    <row r="19" spans="1:36" ht="14" x14ac:dyDescent="0.15">
      <c r="A19" s="64" t="s">
        <v>107</v>
      </c>
      <c r="B19" s="4">
        <v>3</v>
      </c>
      <c r="C19" s="64">
        <v>6</v>
      </c>
      <c r="D19" s="4">
        <v>4</v>
      </c>
      <c r="E19" s="4">
        <v>0</v>
      </c>
      <c r="F19" s="4">
        <v>3</v>
      </c>
      <c r="G19" s="67">
        <v>12</v>
      </c>
      <c r="H19" s="4">
        <v>6</v>
      </c>
      <c r="I19" s="4">
        <v>5</v>
      </c>
      <c r="J19" s="4">
        <v>1</v>
      </c>
      <c r="K19" s="4">
        <v>5</v>
      </c>
      <c r="L19" s="4">
        <v>1</v>
      </c>
      <c r="M19" s="67">
        <v>12</v>
      </c>
      <c r="N19" s="4">
        <v>2</v>
      </c>
      <c r="O19" s="4">
        <v>4</v>
      </c>
      <c r="P19" s="4">
        <v>0</v>
      </c>
      <c r="Q19" s="71">
        <v>6</v>
      </c>
      <c r="R19" s="4">
        <v>5</v>
      </c>
      <c r="S19" s="4">
        <v>1</v>
      </c>
      <c r="T19" s="67">
        <v>6</v>
      </c>
      <c r="U19" s="4">
        <v>5</v>
      </c>
      <c r="V19" s="4">
        <v>3</v>
      </c>
      <c r="W19" s="4">
        <v>1</v>
      </c>
      <c r="X19" s="67">
        <v>7</v>
      </c>
      <c r="Y19" s="4">
        <v>0</v>
      </c>
      <c r="Z19" s="4">
        <v>0</v>
      </c>
      <c r="AA19" s="4">
        <v>3</v>
      </c>
      <c r="AB19" s="4">
        <v>0</v>
      </c>
      <c r="AC19" s="67">
        <v>3</v>
      </c>
      <c r="AD19" s="4">
        <v>3</v>
      </c>
      <c r="AE19" s="4">
        <v>2</v>
      </c>
      <c r="AF19" s="4">
        <v>0</v>
      </c>
      <c r="AG19" s="67">
        <v>5</v>
      </c>
      <c r="AH19" s="4">
        <v>2</v>
      </c>
      <c r="AI19" s="4">
        <v>1</v>
      </c>
      <c r="AJ19" s="67">
        <v>3</v>
      </c>
    </row>
    <row r="20" spans="1:36" ht="14" x14ac:dyDescent="0.15">
      <c r="A20" s="64" t="s">
        <v>108</v>
      </c>
      <c r="B20" s="4">
        <v>3</v>
      </c>
      <c r="C20" s="64">
        <v>9</v>
      </c>
      <c r="D20" s="4">
        <v>5</v>
      </c>
      <c r="E20" s="4">
        <v>0</v>
      </c>
      <c r="F20" s="4">
        <v>1</v>
      </c>
      <c r="G20" s="67">
        <v>15</v>
      </c>
      <c r="H20" s="4">
        <v>4</v>
      </c>
      <c r="I20" s="4">
        <v>6</v>
      </c>
      <c r="J20" s="4">
        <v>3</v>
      </c>
      <c r="K20" s="4">
        <v>1</v>
      </c>
      <c r="L20" s="4">
        <v>0</v>
      </c>
      <c r="M20" s="67">
        <v>14</v>
      </c>
      <c r="N20" s="4">
        <v>3</v>
      </c>
      <c r="O20" s="4">
        <v>4</v>
      </c>
      <c r="P20" s="4">
        <v>2</v>
      </c>
      <c r="Q20" s="71">
        <v>9</v>
      </c>
      <c r="R20" s="4">
        <v>4</v>
      </c>
      <c r="S20" s="4">
        <v>0</v>
      </c>
      <c r="T20" s="67">
        <v>4</v>
      </c>
      <c r="U20" s="4">
        <v>5</v>
      </c>
      <c r="V20" s="4">
        <v>2</v>
      </c>
      <c r="W20" s="4">
        <v>0</v>
      </c>
      <c r="X20" s="67">
        <v>7</v>
      </c>
      <c r="Y20" s="4">
        <v>2</v>
      </c>
      <c r="Z20" s="4">
        <v>3</v>
      </c>
      <c r="AA20" s="4">
        <v>0</v>
      </c>
      <c r="AB20" s="4">
        <v>1</v>
      </c>
      <c r="AC20" s="67">
        <v>5</v>
      </c>
      <c r="AD20" s="4">
        <v>1</v>
      </c>
      <c r="AE20" s="4">
        <v>2</v>
      </c>
      <c r="AF20" s="4">
        <v>1</v>
      </c>
      <c r="AG20" s="67">
        <v>4</v>
      </c>
      <c r="AH20" s="4">
        <v>1</v>
      </c>
      <c r="AI20" s="4">
        <v>2</v>
      </c>
      <c r="AJ20" s="67">
        <v>3</v>
      </c>
    </row>
    <row r="21" spans="1:36" ht="15" thickBot="1" x14ac:dyDescent="0.2">
      <c r="A21" s="69" t="s">
        <v>109</v>
      </c>
      <c r="B21" s="73"/>
      <c r="C21" s="69">
        <v>115</v>
      </c>
      <c r="D21" s="65">
        <v>53</v>
      </c>
      <c r="E21" s="65">
        <v>51</v>
      </c>
      <c r="F21" s="65">
        <v>17</v>
      </c>
      <c r="G21" s="68">
        <v>220</v>
      </c>
      <c r="H21" s="65">
        <v>70</v>
      </c>
      <c r="I21" s="65">
        <v>52</v>
      </c>
      <c r="J21" s="65">
        <v>50</v>
      </c>
      <c r="K21" s="65">
        <v>49</v>
      </c>
      <c r="L21" s="65">
        <v>15</v>
      </c>
      <c r="M21" s="68">
        <v>198</v>
      </c>
      <c r="N21" s="65">
        <v>87</v>
      </c>
      <c r="O21" s="65">
        <v>74</v>
      </c>
      <c r="P21" s="65">
        <v>27</v>
      </c>
      <c r="Q21" s="72">
        <v>179</v>
      </c>
      <c r="R21" s="65">
        <v>105</v>
      </c>
      <c r="S21" s="65">
        <v>25</v>
      </c>
      <c r="T21" s="68">
        <v>127</v>
      </c>
      <c r="U21" s="65">
        <v>77</v>
      </c>
      <c r="V21" s="65">
        <v>56</v>
      </c>
      <c r="W21" s="65">
        <v>20</v>
      </c>
      <c r="X21" s="68">
        <v>118</v>
      </c>
      <c r="Y21" s="65">
        <v>26</v>
      </c>
      <c r="Z21" s="65">
        <v>26</v>
      </c>
      <c r="AA21" s="65">
        <v>19</v>
      </c>
      <c r="AB21" s="65">
        <v>18</v>
      </c>
      <c r="AC21" s="68">
        <v>84</v>
      </c>
      <c r="AD21" s="65">
        <v>31</v>
      </c>
      <c r="AE21" s="65">
        <v>28</v>
      </c>
      <c r="AF21" s="65">
        <v>10</v>
      </c>
      <c r="AG21" s="68">
        <v>61</v>
      </c>
      <c r="AH21" s="65">
        <v>33</v>
      </c>
      <c r="AI21" s="65">
        <v>28</v>
      </c>
      <c r="AJ21" s="68">
        <v>57</v>
      </c>
    </row>
    <row r="22" spans="1:36" ht="14" x14ac:dyDescent="0.1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spans="1:36" ht="46" customHeight="1" x14ac:dyDescent="0.15">
      <c r="A23" s="140" t="s">
        <v>110</v>
      </c>
      <c r="B23" s="140"/>
      <c r="C23" s="140"/>
      <c r="D23" s="140"/>
      <c r="E23" s="140"/>
      <c r="F23" s="140"/>
      <c r="G23" s="140"/>
      <c r="H23" s="140"/>
      <c r="I23" s="140"/>
      <c r="J23" s="140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</sheetData>
  <mergeCells count="11">
    <mergeCell ref="A23:J23"/>
    <mergeCell ref="U1:X1"/>
    <mergeCell ref="Y1:AC1"/>
    <mergeCell ref="AD1:AG1"/>
    <mergeCell ref="AH1:AJ1"/>
    <mergeCell ref="A1:A2"/>
    <mergeCell ref="B1:B2"/>
    <mergeCell ref="C1:G1"/>
    <mergeCell ref="H1:M1"/>
    <mergeCell ref="N1:Q1"/>
    <mergeCell ref="R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BFCB2-126E-9144-8498-D0A8CC0494AC}">
  <dimension ref="A1:I38"/>
  <sheetViews>
    <sheetView zoomScale="92" workbookViewId="0">
      <selection activeCell="A23" sqref="A23"/>
    </sheetView>
  </sheetViews>
  <sheetFormatPr baseColWidth="10" defaultRowHeight="16" x14ac:dyDescent="0.2"/>
  <cols>
    <col min="1" max="1" width="29.6640625" style="5" bestFit="1" customWidth="1"/>
    <col min="2" max="2" width="7.5" style="5" bestFit="1" customWidth="1"/>
    <col min="3" max="3" width="11.5" style="5" customWidth="1"/>
    <col min="4" max="4" width="6.83203125" style="5" bestFit="1" customWidth="1"/>
    <col min="5" max="5" width="12.6640625" style="5" customWidth="1"/>
    <col min="6" max="6" width="6.83203125" style="5" bestFit="1" customWidth="1"/>
    <col min="7" max="7" width="16.6640625" style="5" customWidth="1"/>
    <col min="8" max="8" width="7.5" style="5" bestFit="1" customWidth="1"/>
    <col min="9" max="9" width="6.33203125" style="5" bestFit="1" customWidth="1"/>
    <col min="10" max="16384" width="10.83203125" style="5"/>
  </cols>
  <sheetData>
    <row r="1" spans="1:9" ht="17" thickBot="1" x14ac:dyDescent="0.25">
      <c r="A1" s="148" t="s">
        <v>115</v>
      </c>
      <c r="B1" s="150" t="s">
        <v>116</v>
      </c>
      <c r="C1" s="151"/>
      <c r="D1" s="152" t="s">
        <v>117</v>
      </c>
      <c r="E1" s="151"/>
      <c r="F1" s="152" t="s">
        <v>118</v>
      </c>
      <c r="G1" s="150"/>
      <c r="H1" s="153" t="s">
        <v>119</v>
      </c>
      <c r="I1" s="154"/>
    </row>
    <row r="2" spans="1:9" x14ac:dyDescent="0.2">
      <c r="A2" s="149"/>
      <c r="B2" s="6" t="s">
        <v>120</v>
      </c>
      <c r="C2" s="6" t="s">
        <v>121</v>
      </c>
      <c r="D2" s="7" t="s">
        <v>120</v>
      </c>
      <c r="E2" s="6" t="s">
        <v>121</v>
      </c>
      <c r="F2" s="8" t="s">
        <v>120</v>
      </c>
      <c r="G2" s="6" t="s">
        <v>121</v>
      </c>
      <c r="H2" s="9" t="s">
        <v>120</v>
      </c>
      <c r="I2" s="10" t="s">
        <v>121</v>
      </c>
    </row>
    <row r="3" spans="1:9" x14ac:dyDescent="0.2">
      <c r="A3" s="11" t="s">
        <v>7</v>
      </c>
      <c r="B3" s="12">
        <f>SUM(B4:B7)</f>
        <v>104.16326522827148</v>
      </c>
      <c r="C3" s="13">
        <f t="shared" ref="C3:C36" si="0">B3/H3</f>
        <v>0.36339592094233042</v>
      </c>
      <c r="D3" s="14">
        <f>SUM(D4:D7)</f>
        <v>96.475246429443359</v>
      </c>
      <c r="E3" s="15">
        <f t="shared" ref="E3:E36" si="1">D3/H3</f>
        <v>0.33657461627700952</v>
      </c>
      <c r="F3" s="14">
        <f>SUM(F4:F7)</f>
        <v>86</v>
      </c>
      <c r="G3" s="15">
        <f t="shared" ref="G3:G36" si="2">F3/H3</f>
        <v>0.30002946943485542</v>
      </c>
      <c r="H3" s="16">
        <f>SUM(H4:H7)</f>
        <v>286.63850975036621</v>
      </c>
      <c r="I3" s="17">
        <f t="shared" ref="I3:I36" si="3">SUM(C3,E3,G3)</f>
        <v>1.0000000066541954</v>
      </c>
    </row>
    <row r="4" spans="1:9" x14ac:dyDescent="0.2">
      <c r="A4" s="86" t="s">
        <v>188</v>
      </c>
      <c r="B4" s="19">
        <v>44.190475463867188</v>
      </c>
      <c r="C4" s="20">
        <f t="shared" si="0"/>
        <v>0.31982529726444159</v>
      </c>
      <c r="D4" s="21">
        <v>53.980197906494141</v>
      </c>
      <c r="E4" s="22">
        <f t="shared" si="1"/>
        <v>0.39067768926709467</v>
      </c>
      <c r="F4" s="21">
        <v>40</v>
      </c>
      <c r="G4" s="20">
        <f t="shared" si="2"/>
        <v>0.28949704107705304</v>
      </c>
      <c r="H4" s="21">
        <v>138.17066955566406</v>
      </c>
      <c r="I4" s="17">
        <f t="shared" si="3"/>
        <v>1.0000000276085892</v>
      </c>
    </row>
    <row r="5" spans="1:9" x14ac:dyDescent="0.2">
      <c r="A5" s="18" t="s">
        <v>122</v>
      </c>
      <c r="B5" s="19">
        <v>20.517007827758789</v>
      </c>
      <c r="C5" s="20">
        <f t="shared" si="0"/>
        <v>0.32545106598267859</v>
      </c>
      <c r="D5" s="21">
        <v>19.524751663208008</v>
      </c>
      <c r="E5" s="20">
        <f t="shared" si="1"/>
        <v>0.30971140115474877</v>
      </c>
      <c r="F5" s="21">
        <v>23</v>
      </c>
      <c r="G5" s="22">
        <f t="shared" si="2"/>
        <v>0.36483753286257264</v>
      </c>
      <c r="H5" s="21">
        <v>63.041759490966797</v>
      </c>
      <c r="I5" s="17">
        <f t="shared" si="3"/>
        <v>1</v>
      </c>
    </row>
    <row r="6" spans="1:9" x14ac:dyDescent="0.2">
      <c r="A6" s="18" t="s">
        <v>123</v>
      </c>
      <c r="B6" s="19">
        <v>22.095237731933594</v>
      </c>
      <c r="C6" s="22">
        <f t="shared" si="0"/>
        <v>0.35943885892220856</v>
      </c>
      <c r="D6" s="21">
        <v>18.376237869262695</v>
      </c>
      <c r="E6" s="20">
        <f t="shared" si="1"/>
        <v>0.29893925791369308</v>
      </c>
      <c r="F6" s="21">
        <v>21</v>
      </c>
      <c r="G6" s="20">
        <f t="shared" si="2"/>
        <v>0.34162185213590918</v>
      </c>
      <c r="H6" s="21">
        <v>61.471477508544922</v>
      </c>
      <c r="I6" s="17">
        <f t="shared" si="3"/>
        <v>0.99999996897181087</v>
      </c>
    </row>
    <row r="7" spans="1:9" ht="17" thickBot="1" x14ac:dyDescent="0.25">
      <c r="A7" s="23" t="s">
        <v>124</v>
      </c>
      <c r="B7" s="24">
        <v>17.360544204711914</v>
      </c>
      <c r="C7" s="25">
        <f t="shared" si="0"/>
        <v>0.72472685367618772</v>
      </c>
      <c r="D7" s="26">
        <v>4.5940589904785156</v>
      </c>
      <c r="E7" s="27">
        <f t="shared" si="1"/>
        <v>0.19178188647269701</v>
      </c>
      <c r="F7" s="26">
        <v>2</v>
      </c>
      <c r="G7" s="27">
        <f t="shared" si="2"/>
        <v>8.349125985111526E-2</v>
      </c>
      <c r="H7" s="26">
        <v>23.95460319519043</v>
      </c>
      <c r="I7" s="28">
        <f t="shared" si="3"/>
        <v>1</v>
      </c>
    </row>
    <row r="8" spans="1:9" ht="17" thickTop="1" x14ac:dyDescent="0.2">
      <c r="A8" s="29" t="s">
        <v>328</v>
      </c>
      <c r="B8" s="30">
        <f>SUM(B9:B13)</f>
        <v>104.16326379776001</v>
      </c>
      <c r="C8" s="31">
        <f t="shared" si="0"/>
        <v>0.36490846326077053</v>
      </c>
      <c r="D8" s="14">
        <f>SUM(D9:D13)</f>
        <v>87.287127494812012</v>
      </c>
      <c r="E8" s="32">
        <f t="shared" si="1"/>
        <v>0.30578738026509272</v>
      </c>
      <c r="F8" s="14">
        <f>SUM(F9:F13)</f>
        <v>94</v>
      </c>
      <c r="G8" s="32">
        <f t="shared" si="2"/>
        <v>0.32930415480366382</v>
      </c>
      <c r="H8" s="14">
        <f>SUM(H9:H13)</f>
        <v>285.45039176940918</v>
      </c>
      <c r="I8" s="17">
        <f t="shared" si="3"/>
        <v>0.99999999832952702</v>
      </c>
    </row>
    <row r="9" spans="1:9" x14ac:dyDescent="0.2">
      <c r="A9" s="18" t="s">
        <v>125</v>
      </c>
      <c r="B9" s="19">
        <v>26.829931259155273</v>
      </c>
      <c r="C9" s="20">
        <f t="shared" si="0"/>
        <v>0.32637369608165329</v>
      </c>
      <c r="D9" s="21">
        <v>18.376237869262695</v>
      </c>
      <c r="E9" s="20">
        <f t="shared" si="1"/>
        <v>0.22353842861301984</v>
      </c>
      <c r="F9" s="21">
        <v>37</v>
      </c>
      <c r="G9" s="22">
        <f t="shared" si="2"/>
        <v>0.4500878753053269</v>
      </c>
      <c r="H9" s="21">
        <v>82.206169128417969</v>
      </c>
      <c r="I9" s="17">
        <f t="shared" si="3"/>
        <v>1</v>
      </c>
    </row>
    <row r="10" spans="1:9" x14ac:dyDescent="0.2">
      <c r="A10" s="18" t="s">
        <v>126</v>
      </c>
      <c r="B10" s="19">
        <v>7.8911561965942383</v>
      </c>
      <c r="C10" s="20">
        <f t="shared" si="0"/>
        <v>0.13431173537704816</v>
      </c>
      <c r="D10" s="21">
        <v>29.861385345458984</v>
      </c>
      <c r="E10" s="22">
        <f t="shared" si="1"/>
        <v>0.50825688740546693</v>
      </c>
      <c r="F10" s="21">
        <v>21</v>
      </c>
      <c r="G10" s="20">
        <f t="shared" si="2"/>
        <v>0.35743132852133092</v>
      </c>
      <c r="H10" s="21">
        <v>58.752544403076172</v>
      </c>
      <c r="I10" s="17">
        <f t="shared" si="3"/>
        <v>0.999999951303846</v>
      </c>
    </row>
    <row r="11" spans="1:9" x14ac:dyDescent="0.2">
      <c r="A11" s="18" t="s">
        <v>127</v>
      </c>
      <c r="B11" s="19">
        <v>33.142856597900391</v>
      </c>
      <c r="C11" s="22">
        <f t="shared" si="0"/>
        <v>0.51846443790994923</v>
      </c>
      <c r="D11" s="21">
        <v>13.782177925109863</v>
      </c>
      <c r="E11" s="20">
        <f t="shared" si="1"/>
        <v>0.21559907215631102</v>
      </c>
      <c r="F11" s="21">
        <v>17</v>
      </c>
      <c r="G11" s="20">
        <f t="shared" si="2"/>
        <v>0.26593650485237591</v>
      </c>
      <c r="H11" s="21">
        <v>63.925033569335938</v>
      </c>
      <c r="I11" s="17">
        <f t="shared" si="3"/>
        <v>1.0000000149186361</v>
      </c>
    </row>
    <row r="12" spans="1:9" x14ac:dyDescent="0.2">
      <c r="A12" s="18" t="s">
        <v>128</v>
      </c>
      <c r="B12" s="19">
        <v>29.986394882202148</v>
      </c>
      <c r="C12" s="22">
        <f t="shared" si="0"/>
        <v>0.48198700268200667</v>
      </c>
      <c r="D12" s="21">
        <v>17.22772216796875</v>
      </c>
      <c r="E12" s="20">
        <f t="shared" si="1"/>
        <v>0.276910185549048</v>
      </c>
      <c r="F12" s="21">
        <v>15</v>
      </c>
      <c r="G12" s="20">
        <f t="shared" si="2"/>
        <v>0.24110284242675711</v>
      </c>
      <c r="H12" s="21">
        <v>62.214115142822266</v>
      </c>
      <c r="I12" s="17">
        <f t="shared" si="3"/>
        <v>1.0000000306578118</v>
      </c>
    </row>
    <row r="13" spans="1:9" ht="17" thickBot="1" x14ac:dyDescent="0.25">
      <c r="A13" s="23" t="s">
        <v>129</v>
      </c>
      <c r="B13" s="24">
        <v>6.312924861907959</v>
      </c>
      <c r="C13" s="27">
        <f t="shared" si="0"/>
        <v>0.34398118542994804</v>
      </c>
      <c r="D13" s="26">
        <v>8.0396041870117188</v>
      </c>
      <c r="E13" s="25">
        <f t="shared" si="1"/>
        <v>0.43806518200821015</v>
      </c>
      <c r="F13" s="26">
        <v>4</v>
      </c>
      <c r="G13" s="27">
        <f t="shared" si="2"/>
        <v>0.21795360657974722</v>
      </c>
      <c r="H13" s="26">
        <v>18.352529525756836</v>
      </c>
      <c r="I13" s="28">
        <f t="shared" si="3"/>
        <v>0.9999999740179053</v>
      </c>
    </row>
    <row r="14" spans="1:9" ht="17" thickTop="1" x14ac:dyDescent="0.2">
      <c r="A14" s="29" t="s">
        <v>39</v>
      </c>
      <c r="B14" s="30">
        <f>SUM(B15:B17)</f>
        <v>72.598639488220215</v>
      </c>
      <c r="C14" s="32">
        <f t="shared" si="0"/>
        <v>0.32224284129111919</v>
      </c>
      <c r="D14" s="14">
        <f>SUM(D15:D17)</f>
        <v>82.693069458007812</v>
      </c>
      <c r="E14" s="31">
        <f t="shared" si="1"/>
        <v>0.36704888473228298</v>
      </c>
      <c r="F14" s="14">
        <f>SUM(F15:F17)</f>
        <v>70</v>
      </c>
      <c r="G14" s="32">
        <f t="shared" si="2"/>
        <v>0.31070828667579126</v>
      </c>
      <c r="H14" s="14">
        <f>SUM(H15:H17)</f>
        <v>225.29170608520508</v>
      </c>
      <c r="I14" s="17">
        <f t="shared" si="3"/>
        <v>1.0000000126991935</v>
      </c>
    </row>
    <row r="15" spans="1:9" x14ac:dyDescent="0.2">
      <c r="A15" s="18" t="s">
        <v>130</v>
      </c>
      <c r="B15" s="19">
        <v>34.721088409423828</v>
      </c>
      <c r="C15" s="20">
        <f t="shared" si="0"/>
        <v>0.33046421564423661</v>
      </c>
      <c r="D15" s="21">
        <v>41.346534729003906</v>
      </c>
      <c r="E15" s="22">
        <f t="shared" si="1"/>
        <v>0.39352309489004877</v>
      </c>
      <c r="F15" s="21">
        <v>29</v>
      </c>
      <c r="G15" s="20">
        <f t="shared" si="2"/>
        <v>0.27601272577278324</v>
      </c>
      <c r="H15" s="21">
        <v>105.06761932373047</v>
      </c>
      <c r="I15" s="17">
        <f t="shared" si="3"/>
        <v>1.0000000363070685</v>
      </c>
    </row>
    <row r="16" spans="1:9" x14ac:dyDescent="0.2">
      <c r="A16" s="158" t="s">
        <v>333</v>
      </c>
      <c r="B16" s="19">
        <v>28.408163070678711</v>
      </c>
      <c r="C16" s="20">
        <f t="shared" si="0"/>
        <v>0.32021791673851152</v>
      </c>
      <c r="D16" s="21">
        <v>33.306930541992188</v>
      </c>
      <c r="E16" s="22">
        <f t="shared" si="1"/>
        <v>0.37543701381098232</v>
      </c>
      <c r="F16" s="21">
        <v>27</v>
      </c>
      <c r="G16" s="20">
        <f t="shared" si="2"/>
        <v>0.30434504795079836</v>
      </c>
      <c r="H16" s="21">
        <v>88.715095520019531</v>
      </c>
      <c r="I16" s="17">
        <f t="shared" si="3"/>
        <v>0.99999997850029221</v>
      </c>
    </row>
    <row r="17" spans="1:9" ht="17" thickBot="1" x14ac:dyDescent="0.25">
      <c r="A17" s="159" t="s">
        <v>334</v>
      </c>
      <c r="B17" s="24">
        <v>9.4693880081176758</v>
      </c>
      <c r="C17" s="27">
        <f t="shared" si="0"/>
        <v>0.30052971025169456</v>
      </c>
      <c r="D17" s="26">
        <v>8.0396041870117188</v>
      </c>
      <c r="E17" s="27">
        <f t="shared" si="1"/>
        <v>0.25515269991996264</v>
      </c>
      <c r="F17" s="26">
        <v>14</v>
      </c>
      <c r="G17" s="25">
        <f t="shared" si="2"/>
        <v>0.44431762009507869</v>
      </c>
      <c r="H17" s="26">
        <v>31.508991241455078</v>
      </c>
      <c r="I17" s="28">
        <f t="shared" si="3"/>
        <v>1.0000000302667358</v>
      </c>
    </row>
    <row r="18" spans="1:9" ht="17" thickTop="1" x14ac:dyDescent="0.2">
      <c r="A18" s="29" t="s">
        <v>24</v>
      </c>
      <c r="B18" s="30">
        <f>SUM(B19:B20)</f>
        <v>69.442176818847656</v>
      </c>
      <c r="C18" s="31">
        <f t="shared" si="0"/>
        <v>0.43029484575732674</v>
      </c>
      <c r="D18" s="14">
        <f>SUM(D19:D20)</f>
        <v>45.940594673156738</v>
      </c>
      <c r="E18" s="32">
        <f t="shared" si="1"/>
        <v>0.28466851133503801</v>
      </c>
      <c r="F18" s="14">
        <f>SUM(F19:F20)</f>
        <v>46</v>
      </c>
      <c r="G18" s="32">
        <f t="shared" si="2"/>
        <v>0.28503661336066816</v>
      </c>
      <c r="H18" s="14">
        <f>SUM(H19:H20)</f>
        <v>161.38277626037598</v>
      </c>
      <c r="I18" s="17">
        <f t="shared" si="3"/>
        <v>0.9999999704530329</v>
      </c>
    </row>
    <row r="19" spans="1:9" x14ac:dyDescent="0.2">
      <c r="A19" s="18" t="s">
        <v>131</v>
      </c>
      <c r="B19" s="19">
        <v>58.394557952880859</v>
      </c>
      <c r="C19" s="22">
        <f t="shared" si="0"/>
        <v>0.44728629416824844</v>
      </c>
      <c r="D19" s="21">
        <v>32.158416748046875</v>
      </c>
      <c r="E19" s="20">
        <f t="shared" si="1"/>
        <v>0.24632465006685431</v>
      </c>
      <c r="F19" s="21">
        <v>40</v>
      </c>
      <c r="G19" s="20">
        <f t="shared" si="2"/>
        <v>0.30638902654536276</v>
      </c>
      <c r="H19" s="21">
        <v>130.552978515625</v>
      </c>
      <c r="I19" s="17">
        <f t="shared" si="3"/>
        <v>0.99999997078046543</v>
      </c>
    </row>
    <row r="20" spans="1:9" ht="17" thickBot="1" x14ac:dyDescent="0.25">
      <c r="A20" s="23" t="s">
        <v>132</v>
      </c>
      <c r="B20" s="24">
        <v>11.047618865966797</v>
      </c>
      <c r="C20" s="27">
        <f t="shared" si="0"/>
        <v>0.35834224270406523</v>
      </c>
      <c r="D20" s="26">
        <v>13.782177925109863</v>
      </c>
      <c r="E20" s="25">
        <f t="shared" si="1"/>
        <v>0.44704081548690638</v>
      </c>
      <c r="F20" s="26">
        <v>6</v>
      </c>
      <c r="G20" s="27">
        <f t="shared" si="2"/>
        <v>0.19461691087550351</v>
      </c>
      <c r="H20" s="26">
        <v>30.829797744750977</v>
      </c>
      <c r="I20" s="28">
        <f t="shared" si="3"/>
        <v>0.99999996906647504</v>
      </c>
    </row>
    <row r="21" spans="1:9" ht="17" thickTop="1" x14ac:dyDescent="0.2">
      <c r="A21" s="29" t="s">
        <v>27</v>
      </c>
      <c r="B21" s="30">
        <f>SUM(B22:B24)</f>
        <v>50.503401279449463</v>
      </c>
      <c r="C21" s="32">
        <f t="shared" si="0"/>
        <v>0.27855434176880306</v>
      </c>
      <c r="D21" s="14">
        <f t="shared" ref="D21:F21" si="4">SUM(D22:D24)</f>
        <v>75.801980018615723</v>
      </c>
      <c r="E21" s="31">
        <f t="shared" si="1"/>
        <v>0.41809007143939508</v>
      </c>
      <c r="F21" s="14">
        <f t="shared" si="4"/>
        <v>55</v>
      </c>
      <c r="G21" s="32">
        <f t="shared" si="2"/>
        <v>0.30335558416177977</v>
      </c>
      <c r="H21" s="14">
        <f>SUM(H22:H24)</f>
        <v>181.30538177490234</v>
      </c>
      <c r="I21" s="17">
        <f t="shared" si="3"/>
        <v>0.99999999736997791</v>
      </c>
    </row>
    <row r="22" spans="1:9" x14ac:dyDescent="0.2">
      <c r="A22" s="158" t="s">
        <v>335</v>
      </c>
      <c r="B22" s="19">
        <v>23.673469543457031</v>
      </c>
      <c r="C22" s="20">
        <f t="shared" si="0"/>
        <v>0.26440505838986333</v>
      </c>
      <c r="D22" s="21">
        <v>29.861385345458984</v>
      </c>
      <c r="E22" s="20">
        <f t="shared" si="1"/>
        <v>0.33351686458018492</v>
      </c>
      <c r="F22" s="21">
        <v>36</v>
      </c>
      <c r="G22" s="22">
        <f t="shared" si="2"/>
        <v>0.40207803442423012</v>
      </c>
      <c r="H22" s="21">
        <v>89.534858703613281</v>
      </c>
      <c r="I22" s="17">
        <f t="shared" si="3"/>
        <v>0.99999995739427838</v>
      </c>
    </row>
    <row r="23" spans="1:9" x14ac:dyDescent="0.2">
      <c r="A23" s="18" t="s">
        <v>133</v>
      </c>
      <c r="B23" s="19">
        <v>22.095237731933594</v>
      </c>
      <c r="C23" s="20">
        <f t="shared" si="0"/>
        <v>0.32092916151328338</v>
      </c>
      <c r="D23" s="21">
        <v>36.752475738525391</v>
      </c>
      <c r="E23" s="22">
        <f t="shared" si="1"/>
        <v>0.53382277961442182</v>
      </c>
      <c r="F23" s="21">
        <v>10</v>
      </c>
      <c r="G23" s="20">
        <f t="shared" si="2"/>
        <v>0.14524811428005319</v>
      </c>
      <c r="H23" s="21">
        <v>68.847709655761719</v>
      </c>
      <c r="I23" s="17">
        <f t="shared" si="3"/>
        <v>1.0000000554077584</v>
      </c>
    </row>
    <row r="24" spans="1:9" ht="17" thickBot="1" x14ac:dyDescent="0.25">
      <c r="A24" s="23" t="s">
        <v>134</v>
      </c>
      <c r="B24" s="24">
        <v>4.7346940040588379</v>
      </c>
      <c r="C24" s="27">
        <f t="shared" si="0"/>
        <v>0.20654942821511055</v>
      </c>
      <c r="D24" s="26">
        <v>9.1881189346313477</v>
      </c>
      <c r="E24" s="25">
        <f t="shared" si="1"/>
        <v>0.40082858801300297</v>
      </c>
      <c r="F24" s="26">
        <v>9</v>
      </c>
      <c r="G24" s="27">
        <f t="shared" si="2"/>
        <v>0.39262196297002633</v>
      </c>
      <c r="H24" s="26">
        <v>22.922813415527344</v>
      </c>
      <c r="I24" s="28">
        <f t="shared" si="3"/>
        <v>0.99999997919813977</v>
      </c>
    </row>
    <row r="25" spans="1:9" ht="17" thickTop="1" x14ac:dyDescent="0.2">
      <c r="A25" s="29" t="s">
        <v>135</v>
      </c>
      <c r="B25" s="30">
        <f>SUM(B26:B29)</f>
        <v>22.095237970352173</v>
      </c>
      <c r="C25" s="32">
        <f t="shared" si="0"/>
        <v>0.21918115643083705</v>
      </c>
      <c r="D25" s="14">
        <f>SUM(D26:D29)</f>
        <v>28.712870597839355</v>
      </c>
      <c r="E25" s="32">
        <f t="shared" si="1"/>
        <v>0.28482699260935374</v>
      </c>
      <c r="F25" s="14">
        <f>SUM(F26:F29)</f>
        <v>50</v>
      </c>
      <c r="G25" s="31">
        <f t="shared" si="2"/>
        <v>0.495991843864589</v>
      </c>
      <c r="H25" s="14">
        <f>SUM(H26:H29)</f>
        <v>100.80810928344727</v>
      </c>
      <c r="I25" s="17">
        <f t="shared" si="3"/>
        <v>0.99999999290477981</v>
      </c>
    </row>
    <row r="26" spans="1:9" x14ac:dyDescent="0.2">
      <c r="A26" s="18" t="s">
        <v>136</v>
      </c>
      <c r="B26" s="19">
        <v>7.8911561965942383</v>
      </c>
      <c r="C26" s="20">
        <f t="shared" si="0"/>
        <v>0.26763094287408196</v>
      </c>
      <c r="D26" s="21">
        <v>4.5940589904785156</v>
      </c>
      <c r="E26" s="20">
        <f t="shared" si="1"/>
        <v>0.15580889651779622</v>
      </c>
      <c r="F26" s="21">
        <v>17</v>
      </c>
      <c r="G26" s="22">
        <f t="shared" si="2"/>
        <v>0.57656012826396963</v>
      </c>
      <c r="H26" s="21">
        <v>29.48521614074707</v>
      </c>
      <c r="I26" s="17">
        <f t="shared" si="3"/>
        <v>0.99999996765584775</v>
      </c>
    </row>
    <row r="27" spans="1:9" x14ac:dyDescent="0.2">
      <c r="A27" s="18" t="s">
        <v>137</v>
      </c>
      <c r="B27" s="19">
        <v>3.1564629077911377</v>
      </c>
      <c r="C27" s="20">
        <f t="shared" si="0"/>
        <v>0.10963699221124135</v>
      </c>
      <c r="D27" s="21">
        <v>12.633663177490234</v>
      </c>
      <c r="E27" s="20">
        <f t="shared" si="1"/>
        <v>0.43881929610864168</v>
      </c>
      <c r="F27" s="21">
        <v>13</v>
      </c>
      <c r="G27" s="22">
        <f t="shared" si="2"/>
        <v>0.45154368683633139</v>
      </c>
      <c r="H27" s="21">
        <v>28.790126800537109</v>
      </c>
      <c r="I27" s="17">
        <f t="shared" si="3"/>
        <v>0.99999997515621442</v>
      </c>
    </row>
    <row r="28" spans="1:9" x14ac:dyDescent="0.2">
      <c r="A28" s="18" t="s">
        <v>138</v>
      </c>
      <c r="B28" s="19">
        <v>4.7346940040588379</v>
      </c>
      <c r="C28" s="20">
        <f t="shared" si="0"/>
        <v>0.22045140731033722</v>
      </c>
      <c r="D28" s="21">
        <v>5.7425742149353027</v>
      </c>
      <c r="E28" s="20">
        <f t="shared" si="1"/>
        <v>0.26737917301124287</v>
      </c>
      <c r="F28" s="21">
        <v>11</v>
      </c>
      <c r="G28" s="22">
        <f t="shared" si="2"/>
        <v>0.51216941967841989</v>
      </c>
      <c r="H28" s="21">
        <v>21.477268218994141</v>
      </c>
      <c r="I28" s="17">
        <f t="shared" si="3"/>
        <v>1</v>
      </c>
    </row>
    <row r="29" spans="1:9" ht="17" thickBot="1" x14ac:dyDescent="0.25">
      <c r="A29" s="23" t="s">
        <v>139</v>
      </c>
      <c r="B29" s="24">
        <v>6.312924861907959</v>
      </c>
      <c r="C29" s="27">
        <f t="shared" si="0"/>
        <v>0.29982310677140306</v>
      </c>
      <c r="D29" s="26">
        <v>5.7425742149353027</v>
      </c>
      <c r="E29" s="27">
        <f t="shared" si="1"/>
        <v>0.27273513936088345</v>
      </c>
      <c r="F29" s="26">
        <v>9</v>
      </c>
      <c r="G29" s="25">
        <f t="shared" si="2"/>
        <v>0.42744179916107633</v>
      </c>
      <c r="H29" s="26">
        <v>21.055498123168945</v>
      </c>
      <c r="I29" s="28">
        <f t="shared" si="3"/>
        <v>1.0000000452933628</v>
      </c>
    </row>
    <row r="30" spans="1:9" ht="17" thickTop="1" x14ac:dyDescent="0.2">
      <c r="A30" s="29" t="s">
        <v>1</v>
      </c>
      <c r="B30" s="30">
        <f>SUM(B31:B33)</f>
        <v>12.625850677490234</v>
      </c>
      <c r="C30" s="32">
        <f t="shared" si="0"/>
        <v>0.16108854647488749</v>
      </c>
      <c r="D30" s="14">
        <f>SUM(D31:D33)</f>
        <v>36.752475500106812</v>
      </c>
      <c r="E30" s="31">
        <f t="shared" si="1"/>
        <v>0.46891120518486734</v>
      </c>
      <c r="F30" s="14">
        <f>SUM(F31:F33)</f>
        <v>29</v>
      </c>
      <c r="G30" s="32">
        <f t="shared" si="2"/>
        <v>0.37000024529835096</v>
      </c>
      <c r="H30" s="14">
        <f>SUM(H31:H33)</f>
        <v>78.378326416015625</v>
      </c>
      <c r="I30" s="17">
        <f t="shared" si="3"/>
        <v>0.99999999695810582</v>
      </c>
    </row>
    <row r="31" spans="1:9" x14ac:dyDescent="0.2">
      <c r="A31" s="18" t="s">
        <v>140</v>
      </c>
      <c r="B31" s="19">
        <v>3.1564629077911377</v>
      </c>
      <c r="C31" s="20">
        <f t="shared" si="0"/>
        <v>9.0240746141187739E-2</v>
      </c>
      <c r="D31" s="21">
        <v>21.821781158447266</v>
      </c>
      <c r="E31" s="22">
        <f t="shared" si="1"/>
        <v>0.62386724361859536</v>
      </c>
      <c r="F31" s="21">
        <v>10</v>
      </c>
      <c r="G31" s="20">
        <f t="shared" si="2"/>
        <v>0.28589198979162833</v>
      </c>
      <c r="H31" s="21">
        <v>34.978244781494141</v>
      </c>
      <c r="I31" s="17">
        <f t="shared" si="3"/>
        <v>0.9999999795514114</v>
      </c>
    </row>
    <row r="32" spans="1:9" x14ac:dyDescent="0.2">
      <c r="A32" s="18" t="s">
        <v>141</v>
      </c>
      <c r="B32" s="19">
        <v>6.312924861907959</v>
      </c>
      <c r="C32" s="20">
        <f t="shared" si="0"/>
        <v>0.19853166951276707</v>
      </c>
      <c r="D32" s="21">
        <v>11.485149383544922</v>
      </c>
      <c r="E32" s="20">
        <f t="shared" si="1"/>
        <v>0.36119008725688606</v>
      </c>
      <c r="F32" s="21">
        <v>14</v>
      </c>
      <c r="G32" s="22">
        <f t="shared" si="2"/>
        <v>0.44027822823455981</v>
      </c>
      <c r="H32" s="21">
        <v>31.798074722290039</v>
      </c>
      <c r="I32" s="17">
        <f t="shared" si="3"/>
        <v>0.99999998500421294</v>
      </c>
    </row>
    <row r="33" spans="1:9" ht="17" thickBot="1" x14ac:dyDescent="0.25">
      <c r="A33" s="23" t="s">
        <v>142</v>
      </c>
      <c r="B33" s="24">
        <v>3.1564629077911377</v>
      </c>
      <c r="C33" s="27">
        <f t="shared" si="0"/>
        <v>0.27206180203732067</v>
      </c>
      <c r="D33" s="26">
        <v>3.445544958114624</v>
      </c>
      <c r="E33" s="27">
        <f t="shared" si="1"/>
        <v>0.29697835763932784</v>
      </c>
      <c r="F33" s="26">
        <v>5</v>
      </c>
      <c r="G33" s="25">
        <f t="shared" si="2"/>
        <v>0.43095992252243337</v>
      </c>
      <c r="H33" s="26">
        <v>11.602006912231445</v>
      </c>
      <c r="I33" s="28">
        <f t="shared" si="3"/>
        <v>1.000000082199082</v>
      </c>
    </row>
    <row r="34" spans="1:9" ht="17" thickTop="1" x14ac:dyDescent="0.2">
      <c r="A34" s="29" t="s">
        <v>34</v>
      </c>
      <c r="B34" s="30">
        <f>SUM(B35:B36)</f>
        <v>28.408163070678711</v>
      </c>
      <c r="C34" s="32">
        <f t="shared" si="0"/>
        <v>0.39051814478448749</v>
      </c>
      <c r="D34" s="14">
        <f>SUM(D35:D36)</f>
        <v>10.336634159088135</v>
      </c>
      <c r="E34" s="32">
        <f t="shared" si="1"/>
        <v>0.14209448126160093</v>
      </c>
      <c r="F34" s="14">
        <f>SUM(F35:F36)</f>
        <v>34</v>
      </c>
      <c r="G34" s="31">
        <f t="shared" si="2"/>
        <v>0.4673873805088431</v>
      </c>
      <c r="H34" s="14">
        <f>SUM(H35:H36)</f>
        <v>72.744796752929688</v>
      </c>
      <c r="I34" s="17">
        <f t="shared" si="3"/>
        <v>1.0000000065549315</v>
      </c>
    </row>
    <row r="35" spans="1:9" x14ac:dyDescent="0.2">
      <c r="A35" s="18" t="s">
        <v>143</v>
      </c>
      <c r="B35" s="19">
        <v>11.047618865966797</v>
      </c>
      <c r="C35" s="20">
        <f t="shared" si="0"/>
        <v>0.29582868728239831</v>
      </c>
      <c r="D35" s="21">
        <v>2.297029972076416</v>
      </c>
      <c r="E35" s="20">
        <f t="shared" si="1"/>
        <v>6.1508943196894358E-2</v>
      </c>
      <c r="F35" s="21">
        <v>24</v>
      </c>
      <c r="G35" s="22">
        <f t="shared" si="2"/>
        <v>0.64266233121504734</v>
      </c>
      <c r="H35" s="21">
        <v>37.344650268554688</v>
      </c>
      <c r="I35" s="17">
        <f t="shared" si="3"/>
        <v>0.99999996169434002</v>
      </c>
    </row>
    <row r="36" spans="1:9" ht="17" thickBot="1" x14ac:dyDescent="0.25">
      <c r="A36" s="33" t="s">
        <v>144</v>
      </c>
      <c r="B36" s="34">
        <v>17.360544204711914</v>
      </c>
      <c r="C36" s="35">
        <f t="shared" si="0"/>
        <v>0.49040882394016511</v>
      </c>
      <c r="D36" s="36">
        <v>8.0396041870117188</v>
      </c>
      <c r="E36" s="37">
        <f t="shared" si="1"/>
        <v>0.22710652314843552</v>
      </c>
      <c r="F36" s="36">
        <v>10</v>
      </c>
      <c r="G36" s="37">
        <f t="shared" si="2"/>
        <v>0.28248470679108134</v>
      </c>
      <c r="H36" s="36">
        <v>35.400146484375</v>
      </c>
      <c r="I36" s="38">
        <f t="shared" si="3"/>
        <v>1.000000053879682</v>
      </c>
    </row>
    <row r="37" spans="1:9" x14ac:dyDescent="0.2">
      <c r="A37" s="39"/>
    </row>
    <row r="38" spans="1:9" x14ac:dyDescent="0.2">
      <c r="A38" s="40"/>
      <c r="B38" s="41"/>
      <c r="C38" s="41"/>
      <c r="D38" s="41"/>
      <c r="E38" s="41"/>
      <c r="F38" s="41"/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70D3-9798-F947-84D7-88A8EAF63494}">
  <dimension ref="A1:J38"/>
  <sheetViews>
    <sheetView tabSelected="1" zoomScale="66" workbookViewId="0">
      <selection activeCell="B19" sqref="B19"/>
    </sheetView>
  </sheetViews>
  <sheetFormatPr baseColWidth="10" defaultColWidth="8.83203125" defaultRowHeight="13" x14ac:dyDescent="0.15"/>
  <cols>
    <col min="1" max="1" width="29.83203125" bestFit="1" customWidth="1"/>
    <col min="2" max="2" width="30.83203125" bestFit="1" customWidth="1"/>
    <col min="3" max="3" width="23" bestFit="1" customWidth="1"/>
    <col min="4" max="4" width="23.1640625" bestFit="1" customWidth="1"/>
    <col min="5" max="5" width="24.6640625" bestFit="1" customWidth="1"/>
    <col min="6" max="6" width="26.1640625" bestFit="1" customWidth="1"/>
    <col min="7" max="7" width="25.1640625" bestFit="1" customWidth="1"/>
    <col min="8" max="8" width="24.1640625" bestFit="1" customWidth="1"/>
  </cols>
  <sheetData>
    <row r="1" spans="1:8" ht="31" thickBot="1" x14ac:dyDescent="0.2">
      <c r="A1" s="44" t="s">
        <v>180</v>
      </c>
      <c r="B1" s="43" t="s">
        <v>181</v>
      </c>
      <c r="C1" s="45" t="s">
        <v>145</v>
      </c>
      <c r="D1" s="45" t="s">
        <v>146</v>
      </c>
      <c r="E1" s="45" t="s">
        <v>178</v>
      </c>
      <c r="F1" s="45" t="s">
        <v>179</v>
      </c>
      <c r="G1" s="45" t="s">
        <v>182</v>
      </c>
      <c r="H1" s="45" t="s">
        <v>147</v>
      </c>
    </row>
    <row r="2" spans="1:8" ht="30" customHeight="1" x14ac:dyDescent="0.15">
      <c r="A2" s="52" t="s">
        <v>148</v>
      </c>
      <c r="B2" s="47"/>
      <c r="C2" s="48">
        <v>4</v>
      </c>
      <c r="D2" s="48">
        <v>6</v>
      </c>
      <c r="E2" s="48">
        <v>8</v>
      </c>
      <c r="F2" s="48">
        <v>8</v>
      </c>
      <c r="G2" s="48">
        <v>5</v>
      </c>
      <c r="H2" s="49">
        <v>9</v>
      </c>
    </row>
    <row r="3" spans="1:8" ht="30" x14ac:dyDescent="0.15">
      <c r="A3" s="53"/>
      <c r="B3" s="46" t="s">
        <v>149</v>
      </c>
      <c r="C3" s="75">
        <v>3</v>
      </c>
      <c r="D3" s="75">
        <v>3</v>
      </c>
      <c r="E3" s="75">
        <v>3</v>
      </c>
      <c r="F3" s="80">
        <v>4</v>
      </c>
      <c r="G3" s="75">
        <v>2</v>
      </c>
      <c r="H3" s="50">
        <v>1</v>
      </c>
    </row>
    <row r="4" spans="1:8" ht="30" x14ac:dyDescent="0.15">
      <c r="A4" s="53"/>
      <c r="B4" s="46" t="s">
        <v>150</v>
      </c>
      <c r="C4" s="75">
        <v>1</v>
      </c>
      <c r="D4" s="75">
        <v>3</v>
      </c>
      <c r="E4" s="75">
        <v>4</v>
      </c>
      <c r="F4" s="75">
        <v>5</v>
      </c>
      <c r="G4" s="75">
        <v>1</v>
      </c>
      <c r="H4" s="79">
        <v>8</v>
      </c>
    </row>
    <row r="5" spans="1:8" ht="31" thickBot="1" x14ac:dyDescent="0.2">
      <c r="A5" s="58"/>
      <c r="B5" s="59" t="s">
        <v>151</v>
      </c>
      <c r="C5" s="76">
        <v>1</v>
      </c>
      <c r="D5" s="76">
        <v>1</v>
      </c>
      <c r="E5" s="81">
        <v>3</v>
      </c>
      <c r="F5" s="76">
        <v>0</v>
      </c>
      <c r="G5" s="76">
        <v>2</v>
      </c>
      <c r="H5" s="60">
        <v>0</v>
      </c>
    </row>
    <row r="6" spans="1:8" ht="30" customHeight="1" thickTop="1" x14ac:dyDescent="0.15">
      <c r="A6" s="54" t="s">
        <v>152</v>
      </c>
      <c r="B6" s="55"/>
      <c r="C6" s="56">
        <v>8</v>
      </c>
      <c r="D6" s="56">
        <v>67</v>
      </c>
      <c r="E6" s="56">
        <v>38</v>
      </c>
      <c r="F6" s="56">
        <v>75</v>
      </c>
      <c r="G6" s="56">
        <v>47</v>
      </c>
      <c r="H6" s="57">
        <v>3</v>
      </c>
    </row>
    <row r="7" spans="1:8" ht="30" x14ac:dyDescent="0.15">
      <c r="A7" s="54"/>
      <c r="B7" s="46" t="s">
        <v>153</v>
      </c>
      <c r="C7" s="75">
        <v>2</v>
      </c>
      <c r="D7" s="75">
        <v>9</v>
      </c>
      <c r="E7" s="75">
        <v>14</v>
      </c>
      <c r="F7" s="75">
        <v>21</v>
      </c>
      <c r="G7" s="75">
        <v>8</v>
      </c>
      <c r="H7" s="50">
        <v>1</v>
      </c>
    </row>
    <row r="8" spans="1:8" ht="30" x14ac:dyDescent="0.15">
      <c r="A8" s="54"/>
      <c r="B8" s="46" t="s">
        <v>154</v>
      </c>
      <c r="C8" s="75">
        <v>0</v>
      </c>
      <c r="D8" s="75">
        <v>7</v>
      </c>
      <c r="E8" s="80">
        <v>15</v>
      </c>
      <c r="F8" s="75">
        <v>27</v>
      </c>
      <c r="G8" s="75">
        <v>5</v>
      </c>
      <c r="H8" s="50">
        <v>0</v>
      </c>
    </row>
    <row r="9" spans="1:8" ht="30" x14ac:dyDescent="0.15">
      <c r="A9" s="54"/>
      <c r="B9" s="46" t="s">
        <v>155</v>
      </c>
      <c r="C9" s="75">
        <v>2</v>
      </c>
      <c r="D9" s="80">
        <v>6</v>
      </c>
      <c r="E9" s="75">
        <v>4</v>
      </c>
      <c r="F9" s="75">
        <v>3</v>
      </c>
      <c r="G9" s="75">
        <v>4</v>
      </c>
      <c r="H9" s="50">
        <v>0</v>
      </c>
    </row>
    <row r="10" spans="1:8" ht="31" thickBot="1" x14ac:dyDescent="0.2">
      <c r="A10" s="61"/>
      <c r="B10" s="59" t="s">
        <v>156</v>
      </c>
      <c r="C10" s="81">
        <v>4</v>
      </c>
      <c r="D10" s="81">
        <v>47</v>
      </c>
      <c r="E10" s="76">
        <v>8</v>
      </c>
      <c r="F10" s="81">
        <v>35</v>
      </c>
      <c r="G10" s="81">
        <v>33</v>
      </c>
      <c r="H10" s="83">
        <v>2</v>
      </c>
    </row>
    <row r="11" spans="1:8" ht="30" customHeight="1" thickTop="1" x14ac:dyDescent="0.15">
      <c r="A11" s="54" t="s">
        <v>157</v>
      </c>
      <c r="B11" s="55"/>
      <c r="C11" s="56">
        <v>2</v>
      </c>
      <c r="D11" s="56">
        <v>29</v>
      </c>
      <c r="E11" s="56">
        <v>15</v>
      </c>
      <c r="F11" s="56">
        <v>25</v>
      </c>
      <c r="G11" s="56">
        <v>20</v>
      </c>
      <c r="H11" s="57">
        <v>2</v>
      </c>
    </row>
    <row r="12" spans="1:8" ht="30" x14ac:dyDescent="0.15">
      <c r="A12" s="54"/>
      <c r="B12" s="46" t="s">
        <v>158</v>
      </c>
      <c r="C12" s="75">
        <v>0</v>
      </c>
      <c r="D12" s="75">
        <v>2</v>
      </c>
      <c r="E12" s="80">
        <v>7</v>
      </c>
      <c r="F12" s="75">
        <v>4</v>
      </c>
      <c r="G12" s="75">
        <v>2</v>
      </c>
      <c r="H12" s="50">
        <v>0</v>
      </c>
    </row>
    <row r="13" spans="1:8" ht="30" x14ac:dyDescent="0.15">
      <c r="A13" s="54"/>
      <c r="B13" s="46" t="s">
        <v>159</v>
      </c>
      <c r="C13" s="75">
        <v>0</v>
      </c>
      <c r="D13" s="80">
        <v>15</v>
      </c>
      <c r="E13" s="75">
        <v>3</v>
      </c>
      <c r="F13" s="75">
        <v>4</v>
      </c>
      <c r="G13" s="75">
        <v>0</v>
      </c>
      <c r="H13" s="79">
        <v>1</v>
      </c>
    </row>
    <row r="14" spans="1:8" ht="30" x14ac:dyDescent="0.15">
      <c r="A14" s="54"/>
      <c r="B14" s="46" t="s">
        <v>160</v>
      </c>
      <c r="C14" s="80">
        <v>2</v>
      </c>
      <c r="D14" s="80">
        <v>18</v>
      </c>
      <c r="E14" s="75">
        <v>4</v>
      </c>
      <c r="F14" s="80">
        <v>8</v>
      </c>
      <c r="G14" s="75">
        <v>2</v>
      </c>
      <c r="H14" s="50">
        <v>0</v>
      </c>
    </row>
    <row r="15" spans="1:8" ht="31" thickBot="1" x14ac:dyDescent="0.2">
      <c r="A15" s="61"/>
      <c r="B15" s="59" t="s">
        <v>161</v>
      </c>
      <c r="C15" s="76">
        <v>0</v>
      </c>
      <c r="D15" s="76">
        <v>0</v>
      </c>
      <c r="E15" s="76">
        <v>2</v>
      </c>
      <c r="F15" s="81">
        <v>9</v>
      </c>
      <c r="G15" s="81">
        <v>16</v>
      </c>
      <c r="H15" s="83">
        <v>1</v>
      </c>
    </row>
    <row r="16" spans="1:8" ht="30" customHeight="1" thickTop="1" x14ac:dyDescent="0.15">
      <c r="A16" s="54" t="s">
        <v>162</v>
      </c>
      <c r="B16" s="55"/>
      <c r="C16" s="56">
        <v>4</v>
      </c>
      <c r="D16" s="56">
        <v>6</v>
      </c>
      <c r="E16" s="56">
        <v>58</v>
      </c>
      <c r="F16" s="56">
        <v>44</v>
      </c>
      <c r="G16" s="56">
        <v>25</v>
      </c>
      <c r="H16" s="57">
        <v>44</v>
      </c>
    </row>
    <row r="17" spans="1:10" ht="30" x14ac:dyDescent="0.15">
      <c r="A17" s="54"/>
      <c r="B17" s="46" t="s">
        <v>163</v>
      </c>
      <c r="C17" s="75">
        <v>0</v>
      </c>
      <c r="D17" s="75">
        <v>0</v>
      </c>
      <c r="E17" s="75">
        <v>0</v>
      </c>
      <c r="F17" s="75">
        <v>1</v>
      </c>
      <c r="G17" s="75">
        <v>4</v>
      </c>
      <c r="H17" s="79">
        <v>28</v>
      </c>
    </row>
    <row r="18" spans="1:10" ht="31" thickBot="1" x14ac:dyDescent="0.2">
      <c r="A18" s="61"/>
      <c r="B18" s="160" t="s">
        <v>338</v>
      </c>
      <c r="C18" s="81">
        <v>4</v>
      </c>
      <c r="D18" s="81">
        <v>6</v>
      </c>
      <c r="E18" s="81">
        <v>58</v>
      </c>
      <c r="F18" s="81">
        <v>43</v>
      </c>
      <c r="G18" s="81">
        <v>21</v>
      </c>
      <c r="H18" s="60">
        <v>19</v>
      </c>
    </row>
    <row r="19" spans="1:10" ht="30" customHeight="1" thickTop="1" x14ac:dyDescent="0.15">
      <c r="A19" s="54" t="s">
        <v>164</v>
      </c>
      <c r="B19" s="55"/>
      <c r="C19" s="56">
        <v>13</v>
      </c>
      <c r="D19" s="56">
        <v>14</v>
      </c>
      <c r="E19" s="56">
        <v>20</v>
      </c>
      <c r="F19" s="56">
        <v>58</v>
      </c>
      <c r="G19" s="56">
        <v>33</v>
      </c>
      <c r="H19" s="57">
        <v>0</v>
      </c>
    </row>
    <row r="20" spans="1:10" ht="30" x14ac:dyDescent="0.15">
      <c r="A20" s="54"/>
      <c r="B20" s="46" t="s">
        <v>165</v>
      </c>
      <c r="C20" s="80">
        <v>7</v>
      </c>
      <c r="D20" s="75">
        <v>4</v>
      </c>
      <c r="E20" s="75">
        <v>15</v>
      </c>
      <c r="F20" s="80">
        <v>41</v>
      </c>
      <c r="G20" s="75">
        <v>7</v>
      </c>
      <c r="H20" s="50">
        <v>0</v>
      </c>
    </row>
    <row r="21" spans="1:10" ht="30" x14ac:dyDescent="0.15">
      <c r="A21" s="54"/>
      <c r="B21" s="46" t="s">
        <v>166</v>
      </c>
      <c r="C21" s="80">
        <v>7</v>
      </c>
      <c r="D21" s="75">
        <v>10</v>
      </c>
      <c r="E21" s="75">
        <v>5</v>
      </c>
      <c r="F21" s="80">
        <v>28</v>
      </c>
      <c r="G21" s="80">
        <v>28</v>
      </c>
      <c r="H21" s="50">
        <v>0</v>
      </c>
    </row>
    <row r="22" spans="1:10" ht="31" thickBot="1" x14ac:dyDescent="0.2">
      <c r="A22" s="61"/>
      <c r="B22" s="59" t="s">
        <v>167</v>
      </c>
      <c r="C22" s="76">
        <v>1</v>
      </c>
      <c r="D22" s="76">
        <v>1</v>
      </c>
      <c r="E22" s="76">
        <v>2</v>
      </c>
      <c r="F22" s="76">
        <v>8</v>
      </c>
      <c r="G22" s="76">
        <v>4</v>
      </c>
      <c r="H22" s="60">
        <v>0</v>
      </c>
    </row>
    <row r="23" spans="1:10" ht="30" customHeight="1" thickTop="1" x14ac:dyDescent="0.15">
      <c r="A23" s="54" t="s">
        <v>168</v>
      </c>
      <c r="B23" s="55"/>
      <c r="C23" s="56">
        <v>0</v>
      </c>
      <c r="D23" s="56">
        <v>5</v>
      </c>
      <c r="E23" s="56">
        <v>22</v>
      </c>
      <c r="F23" s="56">
        <v>40</v>
      </c>
      <c r="G23" s="56">
        <v>27</v>
      </c>
      <c r="H23" s="57">
        <v>1</v>
      </c>
    </row>
    <row r="24" spans="1:10" ht="30" x14ac:dyDescent="0.15">
      <c r="A24" s="54"/>
      <c r="B24" s="46" t="s">
        <v>169</v>
      </c>
      <c r="C24" s="75">
        <v>0</v>
      </c>
      <c r="D24" s="75">
        <v>4</v>
      </c>
      <c r="E24" s="75">
        <v>16</v>
      </c>
      <c r="F24" s="80">
        <v>21</v>
      </c>
      <c r="G24" s="75">
        <v>16</v>
      </c>
      <c r="H24" s="50">
        <v>1</v>
      </c>
    </row>
    <row r="25" spans="1:10" ht="31" thickBot="1" x14ac:dyDescent="0.2">
      <c r="A25" s="61"/>
      <c r="B25" s="59" t="s">
        <v>170</v>
      </c>
      <c r="C25" s="76">
        <v>0</v>
      </c>
      <c r="D25" s="76">
        <v>2</v>
      </c>
      <c r="E25" s="76">
        <v>9</v>
      </c>
      <c r="F25" s="81">
        <v>22</v>
      </c>
      <c r="G25" s="76">
        <v>13</v>
      </c>
      <c r="H25" s="60">
        <v>0</v>
      </c>
    </row>
    <row r="26" spans="1:10" ht="30" customHeight="1" thickTop="1" x14ac:dyDescent="0.15">
      <c r="A26" s="54" t="s">
        <v>171</v>
      </c>
      <c r="B26" s="55"/>
      <c r="C26" s="56">
        <v>27</v>
      </c>
      <c r="D26" s="56">
        <v>97</v>
      </c>
      <c r="E26" s="56">
        <v>8</v>
      </c>
      <c r="F26" s="56">
        <v>24</v>
      </c>
      <c r="G26" s="56">
        <v>38</v>
      </c>
      <c r="H26" s="57">
        <v>1</v>
      </c>
      <c r="J26" s="42"/>
    </row>
    <row r="27" spans="1:10" ht="30" x14ac:dyDescent="0.15">
      <c r="A27" s="54"/>
      <c r="B27" s="46" t="s">
        <v>172</v>
      </c>
      <c r="C27" s="75">
        <v>0</v>
      </c>
      <c r="D27" s="80">
        <v>11</v>
      </c>
      <c r="E27" s="75">
        <v>6</v>
      </c>
      <c r="F27" s="75">
        <v>8</v>
      </c>
      <c r="G27" s="75">
        <v>4</v>
      </c>
      <c r="H27" s="50">
        <v>0</v>
      </c>
    </row>
    <row r="28" spans="1:10" ht="30" x14ac:dyDescent="0.15">
      <c r="A28" s="54"/>
      <c r="B28" s="84" t="s">
        <v>184</v>
      </c>
      <c r="C28" s="80">
        <v>27</v>
      </c>
      <c r="D28" s="80">
        <v>47</v>
      </c>
      <c r="E28" s="75">
        <v>1</v>
      </c>
      <c r="F28" s="75">
        <v>7</v>
      </c>
      <c r="G28" s="75">
        <v>1</v>
      </c>
      <c r="H28" s="50">
        <v>0</v>
      </c>
      <c r="J28" s="157"/>
    </row>
    <row r="29" spans="1:10" ht="46" thickBot="1" x14ac:dyDescent="0.2">
      <c r="A29" s="61"/>
      <c r="B29" s="160" t="s">
        <v>337</v>
      </c>
      <c r="C29" s="76">
        <v>0</v>
      </c>
      <c r="D29" s="81">
        <v>45</v>
      </c>
      <c r="E29" s="76">
        <v>1</v>
      </c>
      <c r="F29" s="81">
        <v>10</v>
      </c>
      <c r="G29" s="81">
        <v>34</v>
      </c>
      <c r="H29" s="60">
        <v>1</v>
      </c>
      <c r="J29" s="157"/>
    </row>
    <row r="30" spans="1:10" ht="30" customHeight="1" thickTop="1" x14ac:dyDescent="0.15">
      <c r="A30" s="155" t="s">
        <v>336</v>
      </c>
      <c r="B30" s="55"/>
      <c r="C30" s="56">
        <v>0</v>
      </c>
      <c r="D30" s="56">
        <v>3</v>
      </c>
      <c r="E30" s="56">
        <v>99</v>
      </c>
      <c r="F30" s="56">
        <v>144</v>
      </c>
      <c r="G30" s="56">
        <v>23</v>
      </c>
      <c r="H30" s="57">
        <v>1</v>
      </c>
    </row>
    <row r="31" spans="1:10" ht="30" x14ac:dyDescent="0.15">
      <c r="A31" s="155"/>
      <c r="B31" s="46" t="s">
        <v>173</v>
      </c>
      <c r="C31" s="75">
        <v>0</v>
      </c>
      <c r="D31" s="75">
        <v>0</v>
      </c>
      <c r="E31" s="75">
        <v>10</v>
      </c>
      <c r="F31" s="75">
        <v>11</v>
      </c>
      <c r="G31" s="75">
        <v>2</v>
      </c>
      <c r="H31" s="50">
        <v>0</v>
      </c>
    </row>
    <row r="32" spans="1:10" ht="30" x14ac:dyDescent="0.15">
      <c r="A32" s="155"/>
      <c r="B32" s="46" t="s">
        <v>174</v>
      </c>
      <c r="C32" s="75">
        <v>0</v>
      </c>
      <c r="D32" s="75">
        <v>1</v>
      </c>
      <c r="E32" s="75">
        <v>19</v>
      </c>
      <c r="F32" s="75">
        <v>22</v>
      </c>
      <c r="G32" s="75">
        <v>4</v>
      </c>
      <c r="H32" s="50">
        <v>0</v>
      </c>
    </row>
    <row r="33" spans="1:8" ht="30" x14ac:dyDescent="0.15">
      <c r="A33" s="155"/>
      <c r="B33" s="46" t="s">
        <v>175</v>
      </c>
      <c r="C33" s="75">
        <v>0</v>
      </c>
      <c r="D33" s="75">
        <v>1</v>
      </c>
      <c r="E33" s="80">
        <v>36</v>
      </c>
      <c r="F33" s="75">
        <v>34</v>
      </c>
      <c r="G33" s="75">
        <v>5</v>
      </c>
      <c r="H33" s="50">
        <v>1</v>
      </c>
    </row>
    <row r="34" spans="1:8" ht="30" x14ac:dyDescent="0.15">
      <c r="A34" s="155"/>
      <c r="B34" s="46" t="s">
        <v>176</v>
      </c>
      <c r="C34" s="75">
        <v>0</v>
      </c>
      <c r="D34" s="75">
        <v>1</v>
      </c>
      <c r="E34" s="75">
        <v>29</v>
      </c>
      <c r="F34" s="80">
        <v>47</v>
      </c>
      <c r="G34" s="80">
        <v>8</v>
      </c>
      <c r="H34" s="50">
        <v>0</v>
      </c>
    </row>
    <row r="35" spans="1:8" ht="31" thickBot="1" x14ac:dyDescent="0.2">
      <c r="A35" s="156"/>
      <c r="B35" s="51" t="s">
        <v>177</v>
      </c>
      <c r="C35" s="77">
        <v>0</v>
      </c>
      <c r="D35" s="77">
        <v>0</v>
      </c>
      <c r="E35" s="77">
        <v>22</v>
      </c>
      <c r="F35" s="85">
        <v>59</v>
      </c>
      <c r="G35" s="85">
        <v>9</v>
      </c>
      <c r="H35" s="78">
        <v>0</v>
      </c>
    </row>
    <row r="38" spans="1:8" x14ac:dyDescent="0.15">
      <c r="A38" t="s">
        <v>183</v>
      </c>
      <c r="C38" s="42">
        <f>SUM(C30,C26,C23,C19,C16,C11,C6,C2)</f>
        <v>58</v>
      </c>
      <c r="D38" s="42">
        <f t="shared" ref="D38:H38" si="0">SUM(D30,D26,D23,D19,D16,D11,D6,D2)</f>
        <v>227</v>
      </c>
      <c r="E38" s="42">
        <f t="shared" si="0"/>
        <v>268</v>
      </c>
      <c r="F38" s="82">
        <f t="shared" si="0"/>
        <v>418</v>
      </c>
      <c r="G38" s="42">
        <f t="shared" si="0"/>
        <v>218</v>
      </c>
      <c r="H38" s="42">
        <f t="shared" si="0"/>
        <v>61</v>
      </c>
    </row>
  </sheetData>
  <mergeCells count="1">
    <mergeCell ref="A30:A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Reasoning codebook</vt:lpstr>
      <vt:lpstr>Frequency per ID</vt:lpstr>
      <vt:lpstr>Reasoning per task type</vt:lpstr>
      <vt:lpstr>Reasoning per ISP stages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Diletta Micol Tobia</cp:lastModifiedBy>
  <dcterms:created xsi:type="dcterms:W3CDTF">2026-10-15T20:39:38Z</dcterms:created>
  <dcterms:modified xsi:type="dcterms:W3CDTF">2026-10-15T20:39:38Z</dcterms:modified>
  <cp:category/>
</cp:coreProperties>
</file>